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Internal Audit Process\"/>
    </mc:Choice>
  </mc:AlternateContent>
  <xr:revisionPtr revIDLastSave="0" documentId="13_ncr:1_{165E9D80-D02F-4E39-809C-90945508D84F}" xr6:coauthVersionLast="47" xr6:coauthVersionMax="47" xr10:uidLastSave="{00000000-0000-0000-0000-000000000000}"/>
  <bookViews>
    <workbookView xWindow="-110" yWindow="-110" windowWidth="19420" windowHeight="11500" tabRatio="500" firstSheet="1" activeTab="1" xr2:uid="{00000000-000D-0000-FFFF-FFFF00000000}"/>
  </bookViews>
  <sheets>
    <sheet name="Sheet1" sheetId="3" state="hidden" r:id="rId1"/>
    <sheet name="Audit Checklist (Merged)" sheetId="1" r:id="rId2"/>
    <sheet name="Category Weightage" sheetId="2" r:id="rId3"/>
  </sheets>
  <definedNames>
    <definedName name="_xlnm._FilterDatabase" localSheetId="1" hidden="1">'Audit Checklist (Merged)'!$A$1:$I$58</definedName>
  </definedName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D8" i="2" l="1"/>
  <c r="E4" i="2"/>
  <c r="F4" i="2" s="1"/>
  <c r="E5" i="2"/>
  <c r="F5" i="2" s="1"/>
  <c r="E6" i="2"/>
  <c r="F6" i="2" s="1"/>
  <c r="E7" i="2"/>
  <c r="F7" i="2" s="1"/>
  <c r="E3" i="2"/>
  <c r="F3" i="2" s="1"/>
  <c r="C8" i="2"/>
  <c r="B8" i="2"/>
  <c r="E8" i="2" l="1"/>
  <c r="F8" i="2"/>
</calcChain>
</file>

<file path=xl/sharedStrings.xml><?xml version="1.0" encoding="utf-8"?>
<sst xmlns="http://schemas.openxmlformats.org/spreadsheetml/2006/main" count="427" uniqueCount="182">
  <si>
    <t>Q. No</t>
  </si>
  <si>
    <t>Periodicity</t>
  </si>
  <si>
    <t>Main Category</t>
  </si>
  <si>
    <t>Criteria / Intent</t>
  </si>
  <si>
    <t>Question / Key Risk Issues</t>
  </si>
  <si>
    <t>Question Category</t>
  </si>
  <si>
    <t>Annual</t>
  </si>
  <si>
    <t>Is the branch sign board displayed and hung at the correct location, and is it in good condition with visible GST number and branch address?</t>
  </si>
  <si>
    <t>Ideal</t>
  </si>
  <si>
    <t>Branch Amenities</t>
  </si>
  <si>
    <t>Monthly</t>
  </si>
  <si>
    <t xml:space="preserve">Vault Tally with Cashbook : </t>
  </si>
  <si>
    <t>Critical</t>
  </si>
  <si>
    <t>Cash Carrying Policy</t>
  </si>
  <si>
    <t xml:space="preserve">Petty cash &amp; Utility invoices </t>
  </si>
  <si>
    <t>Verify the following for petty cash and utility bill management:
• Are all supporting bills (petty cash, utility bills, admin bills) properly filed and within prescribed limits?
• Are all bills paid with no unpaid or overdue bills (e.g., electricity bill)?
• Are all bills paid within the due date?</t>
  </si>
  <si>
    <t>Important</t>
  </si>
  <si>
    <t>Third Party</t>
  </si>
  <si>
    <t>Staff Safety</t>
  </si>
  <si>
    <t>BSML Code of conduct</t>
  </si>
  <si>
    <t>Attendence</t>
  </si>
  <si>
    <t>ID Card related</t>
  </si>
  <si>
    <t>Do all branch staff have a BSML ID card (either physical or through HRMS)?</t>
  </si>
  <si>
    <t>Resigned staff related</t>
  </si>
  <si>
    <t>Once in 6 months - Total Notice board. 
New notices/Displays - Every month.</t>
  </si>
  <si>
    <t>Notice Board items</t>
  </si>
  <si>
    <t xml:space="preserve">Registers at Branch : </t>
  </si>
  <si>
    <t>For the audit period, confirm if the following registers are maintained and updated regularly:
• Cash deposit to bank 
• Visitor Register 
• Compliant / grievance register 
• Asset register 
• Staff Movement register 
• Cash book
• Vault / Last 30 days cash balance report
• Staff details register 
• Filing office orders/Memo                                                                                                                     • Staff meeting register</t>
  </si>
  <si>
    <t>Document storage</t>
  </si>
  <si>
    <t>Loan Approval Processing</t>
  </si>
  <si>
    <t>Co applicant Branch Visit</t>
  </si>
  <si>
    <t>Loan Card( Availability, update status and matching)</t>
  </si>
  <si>
    <t>Handing over</t>
  </si>
  <si>
    <t>Related to Bank/Airtel /Other payment mode:</t>
  </si>
  <si>
    <t>Delay Payment</t>
  </si>
  <si>
    <t>Loan Passbook related</t>
  </si>
  <si>
    <t>Non-starter</t>
  </si>
  <si>
    <t>Over due Loans</t>
  </si>
  <si>
    <t>Proper posting of last instalment of client eligible for Express loan</t>
  </si>
  <si>
    <t>Disbursement Anomolies</t>
  </si>
  <si>
    <t>Robbery/Theft related</t>
  </si>
  <si>
    <t>Employee involvement</t>
  </si>
  <si>
    <t>Wrong Posting of Collection</t>
  </si>
  <si>
    <t>collection of Recovery Charge (RC) or any extra, unauthorized amount from customers</t>
  </si>
  <si>
    <t>Is the staff collecting Recovery Charges (RC) or any extra or unauthorized amount from customers? (All employees should adhere to Office Order No. 30).</t>
  </si>
  <si>
    <t>Self-funding of EMl`s</t>
  </si>
  <si>
    <t>Reconciliation of OMD Collection</t>
  </si>
  <si>
    <t>Supervisory Review &amp; Branch Governance</t>
  </si>
  <si>
    <t>Center vistits</t>
  </si>
  <si>
    <t>RO Center Rotation</t>
  </si>
  <si>
    <t>Handling Case Load</t>
  </si>
  <si>
    <t>BM's Voucher Verification</t>
  </si>
  <si>
    <t>BRE/ BRO /BM Posting as per policy</t>
  </si>
  <si>
    <t>Less or Over staffing at Branch</t>
  </si>
  <si>
    <t>Key Fact Statement</t>
  </si>
  <si>
    <t>Credit Linked Insurance</t>
  </si>
  <si>
    <t>Preclosure</t>
  </si>
  <si>
    <t>Grievance Mechanism</t>
  </si>
  <si>
    <t>MIS/HRMS password</t>
  </si>
  <si>
    <t>Confirm if there has been no instances of password sharing for MIS applications/HRMS in the branch system or on other staff mobile devices? (Role based)</t>
  </si>
  <si>
    <t>Weightage (%)</t>
  </si>
  <si>
    <t>SCORING LEGEND</t>
  </si>
  <si>
    <t>6 Marks</t>
  </si>
  <si>
    <t>4 Marks</t>
  </si>
  <si>
    <t>2 Marks</t>
  </si>
  <si>
    <t>Fraud Control, Arrears &amp; Integrity Violations</t>
  </si>
  <si>
    <t>Branch Administration</t>
  </si>
  <si>
    <t>Documentation &amp; Record Management</t>
  </si>
  <si>
    <t xml:space="preserve">Branch Administration </t>
  </si>
  <si>
    <t xml:space="preserve">Marks </t>
  </si>
  <si>
    <t>Row Labels</t>
  </si>
  <si>
    <t>Grand Total</t>
  </si>
  <si>
    <t>Max Marks</t>
  </si>
  <si>
    <t xml:space="preserve">Data Requirement </t>
  </si>
  <si>
    <t xml:space="preserve">1. Staff Allocation as per sonata HRMS should be available for verification (in the application)
2. Attendance status for a particular period, from-to date, should be available from HRMS data. </t>
  </si>
  <si>
    <t xml:space="preserve">1. Data should be available from-to date.
</t>
  </si>
  <si>
    <t>Process note/Office order for the cash carrying to bank should be linked.</t>
  </si>
  <si>
    <t>Disbursement Data from- to date should be available</t>
  </si>
  <si>
    <t>Disbursement Dump</t>
  </si>
  <si>
    <t>Pending LUC data by branch team and ops team supervisors.
Auditors coverage on LUC pending should be displayed</t>
  </si>
  <si>
    <t>Branch center meeting report to pop-up (Date wise)</t>
  </si>
  <si>
    <t xml:space="preserve">Express Loan details date wise should be available </t>
  </si>
  <si>
    <t>Format to update the details of Ring leader/ middle man/third party/ other centre members/kin relation/Loan sharing with staff should pop up</t>
  </si>
  <si>
    <t>Format to update the details of third party/ other centre members/kin relation/Known person to staff should pop up</t>
  </si>
  <si>
    <t xml:space="preserve">Staff mapping related </t>
  </si>
  <si>
    <t xml:space="preserve">Nelitos Report emp ID wise required  </t>
  </si>
  <si>
    <t>HR data required</t>
  </si>
  <si>
    <t>From Nelitos pre closure loan data required</t>
  </si>
  <si>
    <t xml:space="preserve">Format to capture Staff details (owner &amp; shared individual Name, Emp ID, Branch Code etc.) </t>
  </si>
  <si>
    <t>A</t>
  </si>
  <si>
    <t>B</t>
  </si>
  <si>
    <t>C</t>
  </si>
  <si>
    <t>D</t>
  </si>
  <si>
    <t>Grade</t>
  </si>
  <si>
    <t>Score Band</t>
  </si>
  <si>
    <t>Implication</t>
  </si>
  <si>
    <t>≥ 70%</t>
  </si>
  <si>
    <t>Satisfactory – standard audit frequency</t>
  </si>
  <si>
    <t>60% – &lt;70%</t>
  </si>
  <si>
    <t>50% – &lt;60%</t>
  </si>
  <si>
    <t>Prioritised for closer, more frequent audit</t>
  </si>
  <si>
    <t>&lt; 50%</t>
  </si>
  <si>
    <t>Frequency</t>
  </si>
  <si>
    <t>Quarterly Once</t>
  </si>
  <si>
    <t>Bi-monthly</t>
  </si>
  <si>
    <t>Previous Audit Compliances</t>
  </si>
  <si>
    <t xml:space="preserve">Percentage </t>
  </si>
  <si>
    <t>Sample Working for reference</t>
  </si>
  <si>
    <t>Awarded Marks</t>
  </si>
  <si>
    <t>Weighted Marks %</t>
  </si>
  <si>
    <t>Field/Branch</t>
  </si>
  <si>
    <t xml:space="preserve">Branch </t>
  </si>
  <si>
    <t>Branch</t>
  </si>
  <si>
    <t>Field</t>
  </si>
  <si>
    <t>Verify the following for bank/Airtel/other payment mode compliance (check for last 1 week):
• Does the branch team follow proper  pick-up guidelines (Airtel/Fino etc.) as per the latest memo?
• Are all Fino/Airtel/Bank payment deposit slips,  register, and Nelitos LMS properly tallied?
• Does HO accounts team data tally with no discrepancies highlighted by them?</t>
  </si>
  <si>
    <t>Client Selection Process</t>
  </si>
  <si>
    <t>Client awareness</t>
  </si>
  <si>
    <t>Centre Meeting (Discipline)</t>
  </si>
  <si>
    <t>Loan Utilization Check related</t>
  </si>
  <si>
    <t>Verify the following for loan utilisation and LUC process:
• Is the LUC for new disbursements in line with organisation policy and verified by RO/BM/other ops supervisors?</t>
  </si>
  <si>
    <t>Are the branch premises properly maintained, including:
• Seating arrangements, working areas, and hygiene standards for Clients and staff
• Adequate rooms to accommodate staff
• Availibility and usable washroom facilities
• Availability of potable water for Clients and staff</t>
  </si>
  <si>
    <t xml:space="preserve">Does branch staff follow the below as per the organisation policy ? 1. BM Housevisit to 100% of the Client house. </t>
  </si>
  <si>
    <t>Are Clients aware of the following, and are loan limits being adhered to?
• JLG discipline: centre guidelines, meeting time, and willingness to pay for defaulting customers
• Company name, branch address, HO location, interest rate, processing fee, insurance fee, and EFI amount
• BSML grievance numbers and process (BM, HO, Ombudsman contact numbers)
• Clients do not have any grievances related to BSML loans?
• Loans disbursed do not exceed permissible limits (amount and number of loans)</t>
  </si>
  <si>
    <t>OD Clients dump DPD wise.
&gt;1 DPD to 30 DPD 
31-90 DPD
91-180 DPD
&gt;180 DPD
Auditors coverage on OD Clients pending should be displayed</t>
  </si>
  <si>
    <t>Verify the following for loan passbook management:
• Are Clients issued loan passbooks and do they carry them to every centre meeting?
• Are all loan passbooks updated with amounts and number of instalments matching MIS records?</t>
  </si>
  <si>
    <t>Client House related</t>
  </si>
  <si>
    <t>If the Client changed their phone number after availing the loan, is the new number updated in the system?</t>
  </si>
  <si>
    <t>Branch Active Clients dump to be displayed</t>
  </si>
  <si>
    <t>Staff Wise centre/Client wise mapping required</t>
  </si>
  <si>
    <t>Client Contact No.</t>
  </si>
  <si>
    <t>Verify the following for Client payment accountability:
• Did the  Client pay digitally to the staff's account? If yes, confirm it was accounted in Nelitos LMS on the same day
• If a Client claims to have paid all dues, verify the status in Nelitos LMS — is it correct?
• After the visit, did the Client make any payment? If yes, capture the amount and ensure it is posted in Nelitos LMS</t>
  </si>
  <si>
    <t>Loan Pipeline related</t>
  </si>
  <si>
    <t>Six months arrear Clients</t>
  </si>
  <si>
    <t xml:space="preserve">BSML Branch name signage board : </t>
  </si>
  <si>
    <t>Is the rotation of centers to the Relationship officer(RO) done as per organization policy (after 6 months)?</t>
  </si>
  <si>
    <t>HR data required (Report to be generated )</t>
  </si>
  <si>
    <t>Verify the following Client onboarding, house visit, and compliance parameters as per the latest MOPP/Memo/SOP:
• Centre formation guidelines followed: age, centre size, house ownership (85% own residence), JLG norms, occupation, loan purpose, 500m proximity, and same-family criteria
• Customer onboarding guidelines followed as per Operational Manual.
• No loans issued to blood relatives in the same centre
• No loans issued to Clients from the same house
• No intstance of center formed in negative/restricted areas
• BM/staff conducted house visit during loan appraisal; Client confirms BSML staff visited during loan processing
• Credit Linked Insurance (CLI) explained to Client and spouse during onboarding
• Correct and eligible nominee covered for Credit Linked Insurance
• No Client involved in: political/police background, fraud, loan default, drug/alcohol addiction, gambling, or other antisocial activities
• No false information, wrong address, or third-party/agent involvement observed during audit validation
• Staff have not onboarded their own family members</t>
  </si>
  <si>
    <t>BRE or BRO Centre Meeting</t>
  </si>
  <si>
    <t>Verify the following for staff safety and two-wheeler compliance:
• Does the staff member have a valid driving licence, vehicle insurance, RC card/copy, and other applicable documents (FC, emission certificate)?
• Do all staff wear helmets while driving during field visits?
• Is travel reimbursement claimed only by staff who own a two-wheeler?
• Have all staff owning a two-wheeler submitted vehicle proof and declaration?
• Are two-wheelers of branch staff properly maintained (rear-view mirrors, working headlight, etc.) ?</t>
  </si>
  <si>
    <t>Verify the following for preclosure and repayment compliance:
• Are preclosure guidelines adhered to: no preclosure at centre meeting, preclosure slip issued and acknowledged in passbook, amount accounted in Nelitos LMS on the same day, and SMS sent to Client?
• Are all EMI payments, lump sum amounts, or preclosures recorded correctly in Nelitos LMS? Record any instances of reversal before EOD</t>
  </si>
  <si>
    <t>Are you able to observe the following grievance reporting and readressal processes at the branch / Centre - 
A .Availbility of complaint boxes at the branch 
B. All issues are resolved within 7 days 
C. Timely escalation of pending issues to HO 
D. Are there any instance of complaints against BSML Staff 
E . Are there any long pending isssues at the branch , have notices been recieved from advocates or legal authorities.</t>
  </si>
  <si>
    <t>Field Operations &amp; Collection</t>
  </si>
  <si>
    <t>Verify the following during centre meeting conduct as per the latest MOPP/Memo/SOP:
• Is the RO conducting the centre meeting as per the latest MOPP/Memo?
• Is the RO Punctual and comes in time for centre meeting?
• Does the RO collect the instalment amount as per the demand sheet/OD list?
• Does the RO adhere to staff behaviour standards as per BSML policy?
• Has all cash paid by the customer been properly accounted in Nelitos LMS?
• Before leaving the centre meeting, the RO must update the collected amount in the MIS
• The RO must ensure Clients are receiving SMS confirmation for paid amounts
• Are there any instances where Clients gave extra cash while availing a loan, during preclosure, or when staff availed a personal loan?
• Is only the member paying the EFI and no third party? (If no, Auditor to enquire whether loan sharing has occurred)</t>
  </si>
  <si>
    <t>Ring Leader/Outsider/Third Party/Association/Groups related</t>
  </si>
  <si>
    <r>
      <t>Verify the following cash and vault management controls (for the period from last audit date to current audit date):
• Does the physical cash match with the cash book, vault register, and Nelitos LMS? Capture reason for any discrepancies
• Is the vault cash verified and reviewed by the BM and supervisor?
• Is the cross sign done by custodians in case of overwriting in registers?
• Are supervisor visit details (Name, Emp ID, Designation, Date, Observations) recorded in the cash/vault book?
• Is the branch adhering to the key management</t>
    </r>
    <r>
      <rPr>
        <sz val="9"/>
        <color rgb="FFFF0000"/>
        <rFont val="Calibri"/>
        <family val="2"/>
      </rPr>
      <t xml:space="preserve"> process/policy?</t>
    </r>
    <r>
      <rPr>
        <sz val="9"/>
        <color rgb="FF000000"/>
        <rFont val="Calibri"/>
        <family val="2"/>
        <charset val="1"/>
      </rPr>
      <t xml:space="preserve">
• Is the cash book updated with signatures when cash is placed in or taken from the vault? Does it sync with CCTV recordings?</t>
    </r>
  </si>
  <si>
    <t>Based on the staffing norms (4+1 model up to 2,000 clients and 1 RO for every 250 OD clients thereafter), is the branch understaffed, overstaffed, or adequately staffed?</t>
  </si>
  <si>
    <t>Is Key Fact statement [Fact sheet] provided to clients at the time of loan disbursement and if aknowledgement with client signature pasted in loan documents stored in the branch?</t>
  </si>
  <si>
    <t>Check whether all staff are following BSML rules and behaving professionally.Verify that:
• Staff use WhatsApp and social media only for official work.
• Staff do not send personal messages, videos, or chat unnecessarily with clients, female family members of clients, or female colleagues.
• Staff do not do anything that can affect loan collections negatively.
• Staff know and understand the Employee Code of Conduct, their duties and responsibilities, Fair Practice Code, and current office instructions/orders.</t>
  </si>
  <si>
    <t>1.Is any staff member's relative working in the same branch or reporting area/supervisory area (AM,RM,DM,ZM)?
2.Are staff posted as per company distance rules (Male: 60 km+, Female: 25 km+)?</t>
  </si>
  <si>
    <t>Check whether the Branch Manager (BM) is following centre visit rules and Verify that:
1) Is BM is doing daily and monthly centre visits as per company rules and keeping proper records?
2)Does the BM visit 100% of centres in a quarter?
3)Is the BM reports and records any mistakes, process gaps, or rule violations found during centre visits?</t>
  </si>
  <si>
    <t>Does the branch adheres to the document storage SOP/Policy of the organisation -  Note- &gt;
• Are membership applications and disbursement vouchers securely filed and stored?
• Is the documentation stored by FY/month wise ? 
•  Are important items protected from damage and stored in a fire resistand fireproof steel almirah ? 
• Are these steel almirah are above at certain height from ground level so that any water seepage due to rain / flood is mitigated</t>
  </si>
  <si>
    <t>Check whether cash carrying to bank  was deposited in the bank as per company policy from the last audit date up to the current audit date.</t>
  </si>
  <si>
    <t>Please confirm if the below items are available on the notice board of the branch : 1.No smoking / prohibiting alcohol consumption stickers to be pasted.
2.Fair Practices Code (Both In english and Vernacular)	
3.BC Certificate 	
4.Certificate of incorporation pursuant to change of name	
5.Shops &amp; Commercial Establishment 
6.Weekly Holiday Poster
HR (Employees)
7.Emergency Contact Details
8. Whistle Blower Policy 
9. SALARY PAY DATE POSTER
10. Holiday Calendar 2026 (Updated)
11. Abstract-maternity benefit
12. Abstract under Child Labour (P&amp;R) Act
13.Child Labour (Poster)
14. Abstract on Min Wages Act
15. Abstract-Payment of Wages Act and Rules
16. Abstarct - Payment of bonus rules
17. Notice Under Gratuity
18. Abstract of The Payment Of Gratuity Act, 1972
19. Abstract of the  employee Compansation act, 1923
20. Posh policy
21. Posh Poster	
Customer related Policy
Product Charts(BSML - Loan Product Details Chart 
"Customer Grievance Redressal Policy
1) Display Chart - BSSM SPOC Contact Details ‘CGR Dept.’ Working Timings
2) Kotak - Customer Grievance Toll Free Number &amp; Nodal Office No.
3) Interest Rate
4) Information On SMA
3) Display Chart - MFIN Address &amp; Toll Free Numbers
4) Display Chart - AKMI Address &amp; Toll Free Number (Applicable only for Karnataka state FOs’)"</t>
  </si>
  <si>
    <t xml:space="preserve"> Does the branch have a commercial electricity connection?</t>
  </si>
  <si>
    <t xml:space="preserve">Sum of Marks </t>
  </si>
  <si>
    <t>Verify the following for staff attendance compliance:
• Is the branch staff marking attendance properly at respective base locations?
• Confirm, if there is no difference between attendance/leave marking in HRMS and the physical attendance register?</t>
  </si>
  <si>
    <t>Please confirm if only BSML staff is staying in the BSML branch and not any third party ? (for the period from last audit date to current audit date)</t>
  </si>
  <si>
    <t>Confirm if there were no instances where the original KYC or any personal documents (e.g., passbook) of members are retained at the branch / for rejected Clients ?
1. Address verification  
2.submission of GRT -location+ GPS coordinates with supervisors. 
3.Signature of Client and spouse on loan documents. 
4. Client KYC and photo stored properly with other loan documents. 
5.KYC match with system records. 
6.OSV on KYC documents. 
7. KYC Fabrication/falisfication noticed (if any) 
8. Fabrication of bank accounts &lt;Report if any descripencies reported&gt;</t>
  </si>
  <si>
    <t>The client's spouse/co-applicant visited the Branch Office to complete the loan disbursement formalities, including providing physical signatures on the required documents and presenting original KYC documents for verification.</t>
  </si>
  <si>
    <t>Loan cards were issued to customers at the time of loan disbursement, all repayments were promptly updated in the loan cards by the Loan Officer, and all records were reconciled with the MIS.</t>
  </si>
  <si>
    <t>The RO, along with the credit note, handed over the cash and supporting documents to the Branch Manager upon returning from the center meeting. (Applicable for BSML Branches only)</t>
  </si>
  <si>
    <t>Verify the following for OD/irregular Client follow-up:
• Do staff know the residence of OD Clients and follow up regularly?
• Do staff have updated mobile numbers of OD/irregular Clients and follow up using those numbers?
• Branch staff visited OD clients on the agreed PTP date, and no complaints were received from clients.
• Are passbooks/receipts of OD Clients updated in case of payments?
• Are Clients receiving SMS after payments, including details about pending OD amounts?
• For migrated customers, has the staff taken steps to obtain new address, contacted relatives, and updated new contact details?
• What is the reason for non-repayment of OD loans (if any)?</t>
  </si>
  <si>
    <t>The client used the loan for the purpose stated at the time of loan application.</t>
  </si>
  <si>
    <t>Loans were given only to clients with correct and verified addresses.</t>
  </si>
  <si>
    <t>There are no non-starter clients in any centre, and all such cases have been visited/checked by the auditor.</t>
  </si>
  <si>
    <t>Was the Express Loan disbursed on the same day? If yes, confirm whether the appropriate posting was completed in the LMS for the concerned client.</t>
  </si>
  <si>
    <t>Confirm that, during the centre visit, no Ring Leader, Third-Party Middleman, or Outsider was found to be involved in centre activities. Specifically, confirm that:
A. There was no sharing of instalments, commissions, or loan amounts between staff, clients, ring leaders, middlemen, or any third party.
B. No Ghost Loans (loans disbursed without the knowledge of the centre members) were identified.
C. No external influence, interference, or control by any outsider was observed that could impact BSML collections.</t>
  </si>
  <si>
    <t>Please confirm that no instances of loan pipelining were observed during the centre visit. If any instances were identified, please provide the details in the remarks section.</t>
  </si>
  <si>
    <t xml:space="preserve">Please confirm the following regarding disbursements:
A. No instances were identified where a BSML staff member, or any relative, friend, or third party, intentionally used or forged bank account details for loan disbursement.
B. No active loans availed by blood relatives of BSML staff were found in the Nelito LMS.
C. All loan disbursements were credited to the respective customers' bank accounts correctly, and no unresolved cases of incorrect loan credit were identified.
D. No JLG loans were found to be disbursed to the parents, spouses, relatives, or any other family members of BSML/Kotak employees, and no ghost clients were identified.
</t>
  </si>
  <si>
    <t>Please confirm that no instances of robbery or theft were observed during the audit period or audit visit days, in the event of any such incident, confirm that the amount has been recovered or recovery action has been initiated and that an FIR/Police Complaint has been duly filed by the Operations Team.</t>
  </si>
  <si>
    <t>Please confirm the following regarding employee integrity and misappropriation:
A. No employee was found to be involved in any fraudulent activity.
B. No instances were identified where an RO collected and utilized customer funds for personal benefit or gain.
C. No instances were identified where an RO invested customer funds in unauthorized, prohibited, or illegal activities.
D. No cases of misappropriation of funds involving any staff member or client were observed.</t>
  </si>
  <si>
    <t>Please confirm that no instalment collected from one client was adjusted against the dues or arrears of another client.</t>
  </si>
  <si>
    <t>1. Please confirm that no staff member was found to be paying EMIs on behalf of any client.
2. Please confirm that no mismatch was observed between the system records and the cash in hand.</t>
  </si>
  <si>
    <t>Please confirm that no mismatch was observed between the OMD collection records and the MIS report.</t>
  </si>
  <si>
    <t>Please confirm that all cases where clients fell into arrears within six months of loan disbursement were verified, and no irregularities were observed.</t>
  </si>
  <si>
    <t>Are the center meeting and loan-related details, including RO Name, meeting time, meeting date, and center demand amount, consistent with the actual center visits conducted?</t>
  </si>
  <si>
    <t>Are all previous audit observations closed? If not, list the open observations and mention the reasons.</t>
  </si>
  <si>
    <t>Do all ROs with more than six months of service have a similar caseload? (A difference of up to 10% from the average caseload, or up to two additional staff cases, is acceptable.)</t>
  </si>
  <si>
    <t xml:space="preserve">1. Do all ROs conduct center meetings only from Monday to Friday?
2. Does each RO handle at least 4 and not more than 7 center meetings per day?
(This check does not apply until both the branch and the RO have completed 6 months. The later of the two dates will be considered.
This check does not apply to ROs who are on approved leave, terminated due to fraud, resigned without serving the notice period, or when meetings are rescheduled due to public holidays.)
</t>
  </si>
  <si>
    <t>Has the BM checked all vouchers and signed them? Have all vouchers, the cashbook, and cash collection registers been verified and matched with the MIS Day Book records?</t>
  </si>
  <si>
    <t>Confirm if non of the resigned stafff were involved in the below misconduct: 
1. Cash misappropriation 
2. Not handed over assets If no - Capture : Employee Name, Employee ID, Designation, Branch , Region, Division, Zone.</t>
  </si>
  <si>
    <t>Are all death claims properly reported and processed? If any death claim is pending, has it been flagged as valid and have all required documents been uploaded?
1. There are no pending CLI or Hospicash documents due to branch negligence.
2. No death case has gone unreported.
3. No fake death report has been submitted.
(Hospicash is applicable only for BSS branches)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</si>
</sst>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0"/>
      <color rgb="FFFFFFFF"/>
      <name val="Calibri"/>
      <family val="2"/>
      <charset val="1"/>
    </font>
    <font>
      <sz val="9"/>
      <color rgb="FF000000"/>
      <name val="Calibri"/>
      <family val="2"/>
      <charset val="1"/>
    </font>
    <font>
      <b/>
      <sz val="10"/>
      <color rgb="FF1F4E79"/>
      <name val="Calibri"/>
      <family val="2"/>
      <charset val="1"/>
    </font>
    <font>
      <b/>
      <sz val="9"/>
      <color rgb="FF000000"/>
      <name val="Calibri"/>
      <family val="2"/>
      <charset val="1"/>
    </font>
    <font>
      <b/>
      <sz val="9.5"/>
      <color rgb="FFFFFFFF"/>
      <name val="Calibri"/>
      <family val="2"/>
    </font>
    <font>
      <b/>
      <sz val="9.5"/>
      <color rgb="FF222222"/>
      <name val="Calibri"/>
      <family val="2"/>
    </font>
    <font>
      <sz val="9.5"/>
      <color rgb="FF222222"/>
      <name val="Calibri"/>
      <family val="2"/>
    </font>
    <font>
      <b/>
      <sz val="11"/>
      <color theme="1"/>
      <name val="Calibri"/>
      <family val="2"/>
    </font>
    <font>
      <sz val="9"/>
      <color rgb="FFFF0000"/>
      <name val="Calibri"/>
      <family val="2"/>
    </font>
  </fonts>
  <fills count="11">
    <fill>
      <patternFill patternType="none"/>
    </fill>
    <fill>
      <patternFill patternType="gray125"/>
    </fill>
    <fill>
      <patternFill patternType="solid">
        <fgColor rgb="FF1F4E79"/>
        <bgColor rgb="FF003366"/>
      </patternFill>
    </fill>
    <fill>
      <patternFill patternType="solid">
        <fgColor theme="0"/>
        <bgColor rgb="FFFFF2CC"/>
      </patternFill>
    </fill>
    <fill>
      <patternFill patternType="solid">
        <fgColor rgb="FFD6E4F0"/>
        <bgColor rgb="FFD9EAD3"/>
      </patternFill>
    </fill>
    <fill>
      <patternFill patternType="solid">
        <fgColor rgb="FFFFD7D7"/>
        <bgColor rgb="FFFFF2CC"/>
      </patternFill>
    </fill>
    <fill>
      <patternFill patternType="solid">
        <fgColor rgb="FFFFF2CC"/>
        <bgColor rgb="FFFFFFFF"/>
      </patternFill>
    </fill>
    <fill>
      <patternFill patternType="solid">
        <fgColor rgb="FFD9EAD3"/>
        <bgColor rgb="FFD6E4F0"/>
      </patternFill>
    </fill>
    <fill>
      <patternFill patternType="solid">
        <fgColor rgb="FF1F3864"/>
        <bgColor indexed="64"/>
      </patternFill>
    </fill>
    <fill>
      <patternFill patternType="solid">
        <fgColor rgb="FFFFFFFF"/>
        <bgColor indexed="64"/>
      </patternFill>
    </fill>
    <fill>
      <patternFill patternType="solid">
        <fgColor theme="0"/>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thin">
        <color auto="1"/>
      </left>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s>
  <cellStyleXfs count="1">
    <xf numFmtId="0" fontId="0" fillId="0" borderId="0"/>
  </cellStyleXfs>
  <cellXfs count="40">
    <xf numFmtId="0" fontId="0" fillId="0" borderId="0" xfId="0"/>
    <xf numFmtId="0" fontId="0" fillId="0" borderId="0" xfId="0" applyAlignment="1"/>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2" fillId="3" borderId="1" xfId="0" applyFont="1" applyFill="1" applyBorder="1" applyAlignment="1">
      <alignment horizontal="center" vertical="top" wrapText="1"/>
    </xf>
    <xf numFmtId="0" fontId="3" fillId="4" borderId="1" xfId="0" applyFont="1" applyFill="1" applyBorder="1" applyAlignment="1">
      <alignment horizontal="center" vertical="center"/>
    </xf>
    <xf numFmtId="0" fontId="4" fillId="5"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0" borderId="0" xfId="0" applyNumberFormat="1"/>
    <xf numFmtId="0" fontId="0" fillId="0" borderId="1" xfId="0" applyBorder="1"/>
    <xf numFmtId="0" fontId="6" fillId="9"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7" fillId="9" borderId="1" xfId="0" applyFont="1" applyFill="1" applyBorder="1" applyAlignment="1">
      <alignment vertical="center" wrapText="1"/>
    </xf>
    <xf numFmtId="1" fontId="2" fillId="3" borderId="1" xfId="0" applyNumberFormat="1" applyFont="1" applyFill="1" applyBorder="1" applyAlignment="1">
      <alignment horizontal="center" vertical="top" wrapText="1"/>
    </xf>
    <xf numFmtId="0" fontId="5" fillId="8" borderId="1"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2" fillId="3" borderId="4" xfId="0" applyFont="1" applyFill="1" applyBorder="1" applyAlignment="1">
      <alignment horizontal="center" vertical="top" wrapText="1"/>
    </xf>
    <xf numFmtId="0" fontId="3" fillId="4" borderId="4" xfId="0" applyFont="1" applyFill="1" applyBorder="1" applyAlignment="1">
      <alignment horizontal="center" vertical="center"/>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3" borderId="5" xfId="0" applyFont="1" applyFill="1" applyBorder="1" applyAlignment="1">
      <alignment horizontal="center" vertical="top" wrapText="1"/>
    </xf>
    <xf numFmtId="1" fontId="2" fillId="3" borderId="6" xfId="0" applyNumberFormat="1" applyFont="1" applyFill="1" applyBorder="1" applyAlignment="1">
      <alignment horizontal="center" vertical="top" wrapText="1"/>
    </xf>
    <xf numFmtId="0" fontId="3" fillId="4" borderId="7" xfId="0" applyFont="1" applyFill="1" applyBorder="1" applyAlignment="1">
      <alignment horizontal="center" vertical="center"/>
    </xf>
    <xf numFmtId="1" fontId="3" fillId="4" borderId="8" xfId="0" applyNumberFormat="1" applyFont="1" applyFill="1" applyBorder="1" applyAlignment="1">
      <alignment horizontal="center" vertical="center"/>
    </xf>
    <xf numFmtId="1" fontId="3" fillId="4" borderId="9" xfId="0" applyNumberFormat="1" applyFont="1" applyFill="1" applyBorder="1" applyAlignment="1">
      <alignment horizontal="center" vertical="center"/>
    </xf>
    <xf numFmtId="0" fontId="2" fillId="0" borderId="1" xfId="0" applyFont="1" applyFill="1" applyBorder="1" applyAlignment="1">
      <alignment horizontal="left" vertical="top" wrapText="1"/>
    </xf>
    <xf numFmtId="0" fontId="0" fillId="0" borderId="0" xfId="0" applyFill="1"/>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8" fillId="0" borderId="10" xfId="0" applyFont="1" applyBorder="1" applyAlignment="1">
      <alignment horizontal="center"/>
    </xf>
    <xf numFmtId="0" fontId="8" fillId="0" borderId="11" xfId="0" applyFont="1" applyBorder="1" applyAlignment="1">
      <alignment horizontal="center"/>
    </xf>
    <xf numFmtId="0" fontId="8" fillId="0" borderId="12" xfId="0" applyFont="1" applyBorder="1" applyAlignment="1">
      <alignment horizontal="center"/>
    </xf>
    <xf numFmtId="0" fontId="2" fillId="10" borderId="1" xfId="0" applyFont="1" applyFill="1" applyBorder="1" applyAlignment="1">
      <alignment horizontal="left" vertical="top" wrapText="1"/>
    </xf>
    <xf numFmtId="0" fontId="0" fillId="10" borderId="0" xfId="0"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FD7D7"/>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kul Dubey" refreshedDate="46224.531724189816" createdVersion="7" refreshedVersion="7" minRefreshableVersion="3" recordCount="57" xr:uid="{F1E55AE2-E2C3-4F54-9397-6544CBF157DB}">
  <cacheSource type="worksheet">
    <worksheetSource ref="C1:H58" sheet="Audit Checklist (Merged)"/>
  </cacheSource>
  <cacheFields count="7">
    <cacheField name="Main Category" numFmtId="0">
      <sharedItems count="7">
        <s v="Branch Administration"/>
        <s v="Documentation &amp; Record Management"/>
        <s v="Field Operations &amp; Collection"/>
        <s v="Fraud Control, Arrears &amp; Integrity Violations"/>
        <s v="Supervisory Review &amp; Branch Governance"/>
        <s v="Centre Operations &amp; Collection" u="1"/>
        <s v="Loan Processing &amp; Grievance Redressal" u="1"/>
      </sharedItems>
    </cacheField>
    <cacheField name="Criteria / Intent" numFmtId="0">
      <sharedItems/>
    </cacheField>
    <cacheField name="Field/Branch" numFmtId="0">
      <sharedItems/>
    </cacheField>
    <cacheField name="Question / Key Risk Issues" numFmtId="0">
      <sharedItems longText="1"/>
    </cacheField>
    <cacheField name="Refined Qns" numFmtId="0">
      <sharedItems containsBlank="1" longText="1"/>
    </cacheField>
    <cacheField name="Question Category" numFmtId="0">
      <sharedItems/>
    </cacheField>
    <cacheField name="Marks " numFmtId="0">
      <sharedItems containsSemiMixedTypes="0" containsString="0" containsNumber="1" containsInteger="1" minValue="2" maxValue="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
  <r>
    <x v="0"/>
    <s v="BSML Branch name signage board : "/>
    <s v="Branch "/>
    <s v="Is the branch sign board displayed and hung at the correct location, and is it in good condition with visible GST number and branch address?"/>
    <m/>
    <s v="Ideal"/>
    <n v="2"/>
  </r>
  <r>
    <x v="0"/>
    <s v="Branch Amenities"/>
    <s v="Branch "/>
    <s v="Are the branch premises properly maintained, including:_x000a_• Seating arrangements, working areas, and hygiene standards for Clients and staff_x000a_• Adequate rooms to accommodate staff_x000a_• Availibility and usable washroom facilities_x000a_• Availability of potable water for Clients and staff"/>
    <m/>
    <s v="Ideal"/>
    <n v="2"/>
  </r>
  <r>
    <x v="0"/>
    <s v="Attendence"/>
    <s v="Branch "/>
    <s v="Verify the following for staff attendance compliance:_x000a_• Is the branch staff marking attendance properly at respective base locations?_x000a_• Is there no difference between the attendance/leave marking in HRMS and the physical attendance register?"/>
    <m/>
    <s v="Important"/>
    <n v="4"/>
  </r>
  <r>
    <x v="0"/>
    <s v="ID Card related"/>
    <s v="Branch "/>
    <s v="Do all branch staff have a BSML ID card (either physical or through HRMS)?"/>
    <m/>
    <s v="Ideal"/>
    <n v="2"/>
  </r>
  <r>
    <x v="0"/>
    <s v="Third Party"/>
    <s v="Branch "/>
    <s v="Please confirm if only BSML staff is staying in the BSML branch and not any third party ?"/>
    <s v="Please confirm if only BSML staff is staying in the BSML branch and not any third party ? (from the previous audit)"/>
    <s v="Important"/>
    <n v="4"/>
  </r>
  <r>
    <x v="1"/>
    <s v="Vault Tally with Cashbook : "/>
    <s v="Branch "/>
    <s v="Verify the following cash and vault management controls (for the period from last audit date to current audit date):_x000a_• Does the physical cash match with the cash book, vault register, and Nelitos LMS? Capture reason for any discrepancies_x000a_• Is the vault cash verified and reviewed by the BM and supervisor?_x000a_• Is the cross sign done by custodians in case of overwriting in registers?_x000a_• Are supervisor visit details (Name, Emp ID, Designation, Date, Observations) recorded in the cash/vault book?_x000a_• Is the branch adhering to the key management process/policy?_x000a_• Is the cash book updated with signatures when cash is placed in or taken from the vault? Does it sync with CCTV recordings?"/>
    <s v="Verify the following cash and vault management controls (for the period from last audit date to current audit date):_x000a_• Does the physical cash match with the cash book, vault register, and Nelitos LMS? Capture reason for any discrepancies_x000a_• Is the vault cash verified and reviewed by the BM and supervisor?_x000a_• Is the cross sign done by custodians in case of overwriting in registers?_x000a_• Are supervisor visit details (Name, Emp ID, Designation, Date, Observations) recorded in the cash/vault book?_x000a_• Is the branch adhering to the key management process/policy?_x000a_• Is the cash book updated with signatures when cash is placed in or taken from the vault? Does it sync with CCTV recordings?"/>
    <s v="Critical"/>
    <n v="6"/>
  </r>
  <r>
    <x v="1"/>
    <s v="Cash Carrying Policy"/>
    <s v="Branch "/>
    <s v="Whether cash carrying to bank is as per the policy? Note : To be verified from the last audit date to current auditing date"/>
    <s v="Check whether cash carrying to bank  was deposited in the bank as per company policy from the last audit date up to the current audit date."/>
    <s v="Critical"/>
    <n v="6"/>
  </r>
  <r>
    <x v="1"/>
    <s v="Petty cash &amp; Utility invoices "/>
    <s v="Branch "/>
    <s v="Verify the following for petty cash and utility bill management:_x000a_• Are all supporting bills (petty cash, utility bills, admin bills) properly filed and within prescribed limits?_x000a_• Are all bills paid with no unpaid or overdue bills (e.g., electricity bill)?_x000a_• Are all bills paid within the due date?"/>
    <m/>
    <s v="Important"/>
    <n v="4"/>
  </r>
  <r>
    <x v="1"/>
    <s v="Petty cash &amp; Utility invoices "/>
    <s v="Branch "/>
    <s v=" Does the branch have a commercial electricity connection?"/>
    <m/>
    <s v="Ideal"/>
    <n v="2"/>
  </r>
  <r>
    <x v="1"/>
    <s v="Notice Board items"/>
    <s v="Branch "/>
    <s v="Please confirm if the below items are available on the notice board of the branch : 1.No smoking / prohibiting alcohol consumption stickers to be pasted. 2.Shops &amp; Commercial Establishment certificate. 3.Weekly Holiday. 4.Pay day 5Holiday List 6. Notice Under GratuityAuthorization to receive 7.Non employment of child Labour- 8.Minimum Wages Act and Rules- 9. Payment of Wages Act and Rules- 10. Payment of Bonus Act and Rules- 11.Payment of Gratuity Act and Rules- 12.Workmen Compensation Act - 13.Visitor book Named as “Labour Officer Visit Book&quot;- 14.Sexual harrasment policy (POSH) 15.Minimum rates of wages Chart - 16.Notice of opening gratutity It is a form - 17.Child labour prohibition and regulation act. 18.Abstract Maternity benefits 19.Abstract of shop act 20.Certificate of Provisional Registration Form GST REG-25 (Government of Karnataka)- 21.Vision and Mission (Both English and Vernacular Language)- 22.PledgeStaff and Member's pledge- 23.RBI - Integrity Pledge - 24.Policy BSMLM - Manual of Policies &amp; Procedures 25.Fair Practices Code Kotak 26.Product Charts BSMLM - Loan Product Details Chart - 27.Product Charts Kotal - BC Loan Interest Rate Chart- 28.Customer Grievance Redressal Policy BSMLM 29.Customer Grievance Redressal Policy Display Chart - BSMLM SPOC Contact Details ‘CGR Dept.’ Working Timings- 30.Customer Grievance Redressal PolicyKotak - Customer Grievance Toll Free Number &amp; Nodal Office No.-  &gt;RBI ombudsman address,contact number and Mail ID 31.Customer Grievance Redressal PolicyDisplay Chart - AKMI Address &amp; Toll Free Number (Applicable only for Karnataka state FOs’)- 32.Customer Grievance Redressal PolicyDisplay Chart - MFIN Address &amp; Toll Free Numbers- 33.Vigil Blower Policy BSMLM 34.Declaration For ClientsRules to be followed by project members, her husband/ guardian/ other persons at the time of visiting to the field office to get loan.- 35.ChartBSML Current Year-BSML Week Chart.- 36.Contact DetailsPolice Station, Hospital, Fire Office, Bank and Govt. Offices, Officials Name and Contact Numbers.- 37.Grevience redressal information to center members Details of information to customers - 38.BC certificate"/>
    <s v="Please confirm if the below items are available on the notice board of the branch : 1.No smoking / prohibiting alcohol consumption stickers to be pasted._x000a_2.Fair Practices Code (Both In english and Vernacular)_x0009__x000a_3.BC Certificate _x0009__x000a_4.Certificate of incorporation pursuant to change of name_x0009__x000a_5.Shops &amp; Commercial Establishment _x000a_6.Weekly Holiday Poster_x000a__x000a_HR (Employees)_x000a__x0009__x0009__x000a_7.Emergency Contact Details_x000a_8. Whistle Blower Policy _x000a_9. SALARY PAY DATE POSTER_x000a_10. Holiday Calendar 2026 (Updated)_x000a_11. Abstract-maternity benefit_x000a_12. Abstract under Child Labour (P&amp;R) Act_x000a_13.Child Labour (Poster)_x000a_14. Abstract on Min Wages Act_x000a_15. Abstract-Payment of Wages Act and Rules_x000a_16. Abstarct - Payment of bonus rules_x000a_17. Notice Under Gratuity_x000a_18. Abstract of The Payment Of Gratuity Act, 1972_x000a_19. Abstract of the  employee Compansation act, 1923_x000a_20. Posh policy_x000a_21. Posh Poster_x0009__x000a__x000a_Customer related Policy_x000a__x0009__x0009__x000a_Product Charts(BSML - Loan Product Details Chart _x000a_&quot;Customer Grievance Redressal Policy_x000a_1) Display Chart - BSSM SPOC Contact Details ‘CGR Dept.’ Working Timings_x000a_2) Kotak - Customer Grievance Toll Free Number &amp; Nodal Office No._x000a_3) Interest Rate_x000a_4) Information On SMA_x000a__x000a_3) Display Chart - MFIN Address &amp; Toll Free Numbers_x000a__x000a_4) Display Chart - AKMI Address &amp; Toll Free Number (Applicable only for Karnataka state FOs’)&quot;"/>
    <s v="Important"/>
    <n v="4"/>
  </r>
  <r>
    <x v="1"/>
    <s v="Registers at Branch : "/>
    <s v="Branch "/>
    <s v="For the audit period, confirm if the following registers are maintained and updated regularly:_x000a_• Cash deposit to bank _x000a_• Visitor Register _x000a_• Compliant / grievance register _x000a_• Asset register _x000a_• Staff Movement register _x000a_• Cash book_x000a_• Vault / Last 30 days cash balance report_x000a_• Staff details register _x000a_• Filing office orders/Memo                                                                                                                     • Staff meeting register"/>
    <m/>
    <s v="Important"/>
    <n v="4"/>
  </r>
  <r>
    <x v="1"/>
    <s v="Document storage"/>
    <s v="Branch "/>
    <s v="Does the branch adheres to the document storage SOP/Policy of the organisation -  Note- &gt;Are membership applications and disbursement vouchers securely filed and stored? &gt;Is the documentation stored by FY/month wise ? &gt;Are important items protected from damage and stored in a fire resistand fireproof steel almirah ? &gt;Are these steel almirah are above at certain height from ground level so that any water seepage due to rain / flood is mitigated"/>
    <s v="Does the branch adheres to the document storage SOP/Policy of the organisation -  Note- &gt;_x000a_• Are membership applications and disbursement vouchers securely filed and stored?_x000a_• Is the documentation stored by FY/month wise ? _x000a_•  Are important items protected from damage and stored in a fire resistand fireproof steel almirah ? _x000a_• Are these steel almirah are above at certain height from ground level so that any water seepage due to rain / flood is mitigated"/>
    <s v="Important"/>
    <n v="4"/>
  </r>
  <r>
    <x v="1"/>
    <s v="Loan Approval Processing"/>
    <s v="Field"/>
    <s v="Does branch staff follow the below as per the organisation policy ? 1. BM Housevisit to 100% of the Client house. "/>
    <s v="Does branch staff follow the below as per the organisation policy ? 1. BM Housevisit to 100% of the Client house. "/>
    <s v="Critical"/>
    <n v="6"/>
  </r>
  <r>
    <x v="1"/>
    <s v="Loan Approval Processing"/>
    <s v="Branch "/>
    <s v="Confirm if there were no instances where the original KYC or any personal documents (e.g., passbook) of members are retained at the branch / for rejected Clients ?_x000a_2. Address verification  3.submission of GRT -location+ GPS coordinates with supervisors. 4.Signature of Client and spouse on loan documents. 5. Client KYC and photo stored properly with other loan documents. 6.KYC match with system records. 7.OSV on KYC documents.  8. KYC Fabrication/falisfication noticed (if any) 12. Fabrication of bank accounts &lt;Report if any descripencies reported&gt;"/>
    <m/>
    <s v="Important"/>
    <n v="4"/>
  </r>
  <r>
    <x v="1"/>
    <s v="Co applicant Branch Visit"/>
    <s v="Branch"/>
    <s v="The client's spouse or co-applicant did not come to the Branch Office to fulfil the loan disbursement formalities like a physical signature on various documents and verification of Original KYC."/>
    <m/>
    <s v="Important"/>
    <n v="4"/>
  </r>
  <r>
    <x v="1"/>
    <s v="Loan Card( Availability, update status and matching)"/>
    <s v="Field"/>
    <s v="the loan cards are should be issued at the time of loan disbursement  to customers,all repayments are immediately updated by the loan officer in the loan card, also all the records should be matched with MIS."/>
    <m/>
    <s v="Critical"/>
    <n v="6"/>
  </r>
  <r>
    <x v="2"/>
    <s v="Handing over"/>
    <s v="Branch"/>
    <s v="1.Is the CO / Collection officer (along with credit note) handing over cash and supporting documents to the BM after returning from the center meeting? (Applicable for BSML Branches only)"/>
    <m/>
    <s v="Critical"/>
    <n v="6"/>
  </r>
  <r>
    <x v="2"/>
    <s v="Related to Bank/Airtel /Other payment mode:"/>
    <s v="Branch "/>
    <s v="Verify the following for bank/Airtel/other payment mode compliance (check for last 1 week):_x000a_• Does the branch team follow proper  pick-up guidelines (Airtel/Fino etc.) as per the latest memo?_x000a_• Are all Fino/Airtel/Bank payment deposit slips,  register, and Nelitos LMS properly tallied?_x000a_• Does HO accounts team data tally with no discrepancies highlighted by them?"/>
    <m/>
    <s v="Important"/>
    <n v="4"/>
  </r>
  <r>
    <x v="2"/>
    <s v="Client awareness"/>
    <s v="Field"/>
    <s v="Are Clients aware of the following, and are loan limits being adhered to?_x000a_• JLG discipline: centre guidelines, meeting time, and willingness to pay for defaulting customers_x000a_• Company name, branch address, HO location, interest rate, processing fee, insurance fee, and EFI amount_x000a_• BSML grievance numbers and process (BM, HO, Ombudsman contact numbers)_x000a_• Clients do not have any grievances related to BSML loans?_x000a_• Loans disbursed do not exceed permissible limits (amount and number of loans)"/>
    <m/>
    <s v="Important"/>
    <n v="4"/>
  </r>
  <r>
    <x v="2"/>
    <s v="Client Selection Process"/>
    <s v="Field"/>
    <s v="Verify the following Client onboarding, house visit, and compliance parameters as per the latest MOPP/Memo/SOP:_x000a_• Centre formation guidelines followed: age, centre size, house ownership (85% own residence), JLG norms, occupation, loan purpose, 500m proximity, and same-family criteria_x000a_• Customer onboarding guidelines followed as per Operational Manual._x000a_• No loans issued to blood relatives in the same centre_x000a_• No loans issued to Clients from the same house_x000a_• No intstance of center formed in negative/restricted areas_x000a_• BM/staff conducted house visit during loan appraisal; Client confirms BSML staff visited during loan processing_x000a_• Credit Linked Insurance (CLI) explained to Client and spouse during onboarding_x000a_• Correct and eligible nominee covered for Credit Linked Insurance_x000a_• No Client involved in: political/police background, fraud, loan default, drug/alcohol addiction, gambling, or other antisocial activities_x000a_• No false information, wrong address, or third-party/agent involvement observed during audit validation_x000a_• Staff have not onboarded their own family members"/>
    <s v="Verify the following Client onboarding, house visit, and compliance parameters as per the latest MOPP/Memo/SOP:_x000a_• Centre formation guidelines followed: age, centre size, house ownership (85% own residence), JLG norms, occupation, loan purpose, 500m proximity, and same-family criteria_x000a_• Customer onboarding guidelines followed as per Operational Manual._x000a_• No loans issued to blood relatives in the same centre_x000a_• No loans issued to Clients from the same house_x000a_• No intstance of center formed in negative/restricted areas_x000a_• BM/staff conducted house visit during loan appraisal; Client confirms BSML staff visited during loan processing_x000a_• Credit Linked Insurance (CLI) explained to Client and spouse during onboarding_x000a_• Correct and eligible nominee covered for Credit Linked Insurance_x000a_• No Client involved in: political/police background, fraud, loan default, drug/alcohol addiction, gambling, or other antisocial activities_x000a_• No false information, wrong address, or third-party/agent involvement observed during audit validation_x000a_• Staff have not onboarded their own family members"/>
    <s v="Critical"/>
    <n v="6"/>
  </r>
  <r>
    <x v="2"/>
    <s v="Centre Meeting (Discipline)"/>
    <s v="Field"/>
    <s v="Verify the following during centre meeting conduct as per the latest MOPP/Memo/SOP:_x000a_• Is the RO conducting the centre meeting as per the latest MOPP/Memo?_x000a_• Is the RO Punctual and comes in time for centre meeting?_x000a_• Does the RO collect the instalment amount as per the demand sheet/OD list?_x000a_• Does the RO adhere to staff behaviour standards as per BSML policy?_x000a_• Has all cash paid by the customer been properly accounted in Nelitos LMS?_x000a_• Before leaving the centre meeting, the RO must update the collected amount in the MIS_x000a_• The RO must ensure Clients are receiving SMS confirmation for paid amounts_x000a_• Are there any instances where Clients gave extra cash while availing a loan, during preclosure, or when staff availed a personal loan?_x000a_• Is only the member paying the EFI and no third party? (If no, Auditor to enquire whether loan sharing has occurred)"/>
    <s v="Verify the following during centre meeting conduct as per the latest MOPP/Memo/SOP:_x000a_• Is the RO conducting the centre meeting as per the latest MOPP/Memo?_x000a_• Is the RO Punctual and comes in time for centre meeting?_x000a_• Does the RO collect the instalment amount as per the demand sheet/OD list?_x000a_• Does the RO adhere to staff behaviour standards as per BSML policy?_x000a_• Has all cash paid by the customer been properly accounted in Nelitos LMS?_x000a_• Before leaving the centre meeting, the RO must update the collected amount in the MIS_x000a_• The RO must ensure Clients are receiving SMS confirmation for paid amounts_x000a_• Are there any instances where Clients gave extra cash while availing a loan, during preclosure, or when staff availed a personal loan?_x000a_• Is only the member paying the EFI and no third party? (If no, Auditor to enquire whether loan sharing has occurred)"/>
    <s v="Critical"/>
    <n v="4"/>
  </r>
  <r>
    <x v="2"/>
    <s v="Delay Payment"/>
    <s v="Field"/>
    <s v="Verify the following for OD/irregular Client follow-up:_x000a_• Do staff know the residence of OD Clients and follow up regularly?_x000a_• Do staff have updated mobile numbers of OD/irregular Clients and follow up using those numbers?_x000a_• No complaints of branch staff not visiting OD Clients as per previously agreed PTP (Promise to Pay)_x000a_• Are passbooks/receipts of OD Clients updated in case of payments?_x000a_• Are Clients receiving SMS after payments, including details about pending OD amounts?_x000a_• For migrated customers, has the staff taken steps to obtain new address, contacted relatives, and updated new contact details?_x000a_• What is the reason for non-repayment of OD loans (if any)?"/>
    <m/>
    <s v="Critical"/>
    <n v="6"/>
  </r>
  <r>
    <x v="2"/>
    <s v="Loan Passbook related"/>
    <s v="Field"/>
    <s v="Verify the following for loan passbook management:_x000a_• Are Clients issued loan passbooks and do they carry them to every centre meeting?_x000a_• Are all loan passbooks updated with amounts and number of instalments matching MIS records?"/>
    <m/>
    <s v="Important"/>
    <n v="4"/>
  </r>
  <r>
    <x v="2"/>
    <s v="Loan Utilization Check related"/>
    <s v="Field"/>
    <s v="Verify the following for loan utilisation and LUC process:_x000a_• Is the loan utilised for the said purpose by the Client?_x000a_"/>
    <m/>
    <s v="Important"/>
    <n v="4"/>
  </r>
  <r>
    <x v="2"/>
    <s v="Loan Utilization Check related"/>
    <s v="Field"/>
    <s v="Verify the following for loan utilisation and LUC process:_x000a_• Is the LUC for new disbursements in line with organisation policy and verified by RO/BM/other ops supervisors?"/>
    <s v="Verify the following for loan utilisation and LUC process:_x000a_• Is the LUC for new disbursements in line with organisation policy and verified by RO/BM/other ops supervisors?"/>
    <s v="Important"/>
    <n v="4"/>
  </r>
  <r>
    <x v="2"/>
    <s v="Client House related"/>
    <s v="Field"/>
    <s v="There are no instances where loans are issued to Clients with fake address? "/>
    <m/>
    <s v="Critical"/>
    <n v="6"/>
  </r>
  <r>
    <x v="2"/>
    <s v="Client Contact No."/>
    <s v="Field"/>
    <s v="If the Client changed their phone number after availing the loan, is the new number updated in the system?"/>
    <m/>
    <s v="Important"/>
    <n v="4"/>
  </r>
  <r>
    <x v="2"/>
    <s v="Non-starter"/>
    <s v="Field"/>
    <s v="Are there no instances of non-starters in any centre? Auditor must verify these cases "/>
    <m/>
    <s v="Critical"/>
    <n v="6"/>
  </r>
  <r>
    <x v="2"/>
    <s v="Over due Loans"/>
    <s v="Field"/>
    <s v="Verify the following for Client payment accountability:_x000a_• Did the  Client pay digitally to the staff's account? If yes, confirm it was accounted in Nelitos LMS on the same day_x000a_• If a Client claims to have paid all dues, verify the status in Nelitos LMS — is it correct?_x000a_• After the visit, did the Client make any payment? If yes, capture the amount and ensure it is posted in Nelitos LMS"/>
    <m/>
    <s v="Critical"/>
    <n v="6"/>
  </r>
  <r>
    <x v="2"/>
    <s v="Proper posting of last instalment of client eligible for Express loan"/>
    <s v="Field"/>
    <s v="Is On same day express loan was disbursed if yes, If Proper posting was done in LMS or not for the concerned client."/>
    <m/>
    <s v="Critical"/>
    <n v="6"/>
  </r>
  <r>
    <x v="3"/>
    <s v="Ring Leader/Outsider/Third Party/Association/Groups related"/>
    <s v="Field"/>
    <s v="Confirm if During the centre visit you did not find presence of any Ring Leader/Third paty middle men/Outsider, if Yes  -_x000a_A. Staff/ring leader/middleman/third party and Client sharing the instalment/commission/loan amount_x000a_B. Ghost Loans [Without centre's knowledge] _x000a_C. Are there any external incidents / controls exercised by outsider due to which BSML collections had been impacted ? _x000a_"/>
    <m/>
    <s v="Critical"/>
    <n v="6"/>
  </r>
  <r>
    <x v="3"/>
    <s v="Loan Pipeline related"/>
    <s v="Field"/>
    <s v="Confirm if During the centre visit. Did you find any Instances of Loan pipelining  if Yes  - Auditor to details the same in remarks _x000a_"/>
    <m/>
    <s v="Critical"/>
    <n v="6"/>
  </r>
  <r>
    <x v="3"/>
    <s v="Disbursement Anomolies"/>
    <s v="Field"/>
    <s v="Confirm the following regarding disbursement anomalies:_x000a_• No instances where a staff member, or their relatives/friends/third party, used a bank account intentionally or by forging details_x000a_• No existing loans availed by BSML staff blood relatives are active in Nelitos LMS_x000a_• All disbursements have been credited to customers correctly; record any unresolved cases of wrong loan credit_x000a_• No JLG loans are being disbursed to BSML/Kotak employees' parents, spouses, relatives, or ghost clients"/>
    <m/>
    <s v="Critical"/>
    <n v="6"/>
  </r>
  <r>
    <x v="3"/>
    <s v="Robbery/Theft related"/>
    <s v="Field"/>
    <s v="During Audit period/Auditing days are there any instances of robbery/theft observed. _x000a_If yes, whether amount has been recovered, FIR has been filed by Ops team."/>
    <m/>
    <s v="Critical"/>
    <n v="6"/>
  </r>
  <r>
    <x v="3"/>
    <s v="Employee involvement"/>
    <s v="Field"/>
    <s v="Confirm the following regarding employee integrity and misappropriation:_x000a_• Confirm no employee is involved in fraud_x000a_• Confirm there are no instances of: RO collecting and using money for personal interest, RO investing money in illegal activities, or any staff/Client involvement in misappropriation (capture details if any)"/>
    <m/>
    <s v="Critical"/>
    <n v="6"/>
  </r>
  <r>
    <x v="3"/>
    <s v="Wrong Posting of Collection"/>
    <s v="Field"/>
    <s v="Is the installment collected from any client adjusted to cover the arrears of any other client?"/>
    <m/>
    <s v="Critical"/>
    <n v="6"/>
  </r>
  <r>
    <x v="3"/>
    <s v="collection of Recovery Charge (RC) or any extra, unauthorized amount from customers"/>
    <s v="Field"/>
    <s v="Is the staff collecting Recovery Charges (RC) or any extra or unauthorized amount from customers? (All employees should adhere to Office Order No. 30)."/>
    <s v="Is the staff collecting Recovery Charges (RC) or any extra or unauthorized amount from customers? (All employees should adhere to Office Order No. 30)."/>
    <s v="Critical"/>
    <n v="6"/>
  </r>
  <r>
    <x v="3"/>
    <s v="Self-funding of EMl`s"/>
    <s v="Field"/>
    <s v="1. Is the staff paying clients’ EMI on behalf of the customers?, 2. is any mismatch found between the system records and cash in hand?"/>
    <m/>
    <s v="Critical"/>
    <n v="6"/>
  </r>
  <r>
    <x v="3"/>
    <s v="Reconciliation of OMD Collection"/>
    <s v="Branch "/>
    <s v="OMD collection record mismatch with MIS report."/>
    <m/>
    <s v="Critical"/>
    <n v="6"/>
  </r>
  <r>
    <x v="3"/>
    <s v="Six months arrear Clients"/>
    <s v="Field"/>
    <s v="Found clients in arrear within 6 month of loan disbursement. Auditor must verify these cases."/>
    <m/>
    <s v="Important"/>
    <n v="4"/>
  </r>
  <r>
    <x v="4"/>
    <s v="Staff mapping related "/>
    <s v="Field"/>
    <s v="Do center meeting and loan-related details (RO Name, Meeting Time, Date and centre meeting demand amount match the actual center visits?"/>
    <m/>
    <s v="Important"/>
    <n v="4"/>
  </r>
  <r>
    <x v="4"/>
    <s v="Previous Audit Compliances"/>
    <s v="Branch "/>
    <s v="All the previous audit observations should be complied. If no based on the open items with reasons to be captured. "/>
    <m/>
    <s v="Important"/>
    <n v="4"/>
  </r>
  <r>
    <x v="4"/>
    <s v="Center vistits"/>
    <s v="Field"/>
    <s v="Verify the following for BM centre visit compliance:_x000a_• Are daily and monthly centre visits done by BM as per company policy and documented?_x000a_• Does the BM visit 100% of centres in a quarter?_x000a_• Are all process lapses/guideline violations reported and documented by the BM?"/>
    <s v="Check whether the Branch Manager (BM) is following centre visit rules and Verify that:_x000a_1) Is BM is doing daily and monthly centre visits as per company rules and keeping proper records?_x000a_2)Does the BM visit 100% of centres in a quarter?_x000a_3)Is the BM reports and records any mistakes, process gaps, or rule violations found during centre visits?"/>
    <s v="Important"/>
    <n v="4"/>
  </r>
  <r>
    <x v="4"/>
    <s v="RO Center Rotation"/>
    <s v="Branch "/>
    <s v="Is the rotation of centers to the Relationship officer(RO) done as per organization policy (after 6 months)?"/>
    <s v="Is the rotation of centers to the Relationship officer(RO) done as per organization policy (after 6 months)?"/>
    <s v="Important"/>
    <n v="4"/>
  </r>
  <r>
    <x v="4"/>
    <s v="Handling Case Load"/>
    <s v="Branch "/>
    <s v="All six-month-old BRE or BRO does not handle equal caseload? [Up to two staff' more caseload considered with 10% variation of average caseload No.]"/>
    <m/>
    <s v="Important"/>
    <n v="4"/>
  </r>
  <r>
    <x v="4"/>
    <s v="BRE or BRO Centre Meeting"/>
    <s v="Branch "/>
    <s v="1- All BRE or BRO does not have the center meeting from Monday to Friday. 2- Each BRE/BRO not handling minimum 4 and maximum 7 center meeting every day. &quot;This excludes Either six months after the branch is opened or six months after the staff member's joining date, whichever occurs later.&quot; &amp; &quot;This excludes staff members who are on approved leave, have been terminated due to fraudulent activities, have resigned without serving the notice period, or in cases where meetings are rescheduled due to public holidays.&quot;"/>
    <m/>
    <s v="Important"/>
    <n v="4"/>
  </r>
  <r>
    <x v="4"/>
    <s v="BM's Voucher Verification"/>
    <s v="Branch "/>
    <s v="BM had not checked the vouchers and BM's signature had not been found on the vouchers. BM to ensure all the records vouchers, cashbook, cash collection registers should match with MIS day book records."/>
    <m/>
    <s v="Important"/>
    <n v="4"/>
  </r>
  <r>
    <x v="4"/>
    <s v="BRE/ BRO /BM Posting as per policy"/>
    <s v="Branch "/>
    <s v="1- Found staff relatives are working in same branch or in supervisory area (AM,RM,DM,ZM).  2- BRE/ BRO /BM posting not found as per company policy (staffs posting should be more than 60 km for males and 25 km for females)"/>
    <s v="1.Is any staff member's relative working in the same branch or reporting area/supervisory area (AM,RM,DM,ZM)?_x000a_2.Are staff posted as per company distance rules (Male: 60 km+, Female: 25 km+)?"/>
    <s v="Important"/>
    <n v="4"/>
  </r>
  <r>
    <x v="4"/>
    <s v="Staff Safety"/>
    <s v="Branch "/>
    <s v="Verify the following for staff safety and two-wheeler compliance:_x000a_• Does the staff member have a valid driving licence, vehicle insurance, RC card/copy, and other applicable documents (FC, emission certificate)?_x000a_• Do all staff wear helmets while driving during field visits?_x000a_• Is travel reimbursement claimed only by staff who own a two-wheeler?_x000a_• Have all staff owning a two-wheeler submitted vehicle proof and declaration?_x000a_• Are two-wheelers of branch staff properly maintained (rear-view mirrors, working headlight, etc.) ?"/>
    <m/>
    <s v="Important"/>
    <n v="4"/>
  </r>
  <r>
    <x v="4"/>
    <s v="BSML Code of conduct"/>
    <s v="Branch "/>
    <s v="Confirm staff adherence to BSML Code of Conduct — verify the following:_x000a_• Staff are not sending messages, sharing videos, chatting, or using any other form of communication other than business-related through WhatsApp or social media with Clients, female family members or female staff/colleagues._x000a_• Staff actions do not negatively impact collections • Branch staff is not aware of employee code of conduct, Duty and responsibility, Fair practice code, Current office orders."/>
    <s v="Check whether all staff are following BSML rules and behaving professionally.Verify that:_x000a_• Staff use WhatsApp and social media only for official work._x000a_• Staff do not send personal messages, videos, or chat unnecessarily with clients, female family members of clients, or female colleagues._x000a_• Staff do not do anything that can affect loan collections negatively._x000a_• Staff know and understand the Employee Code of Conduct, their duties and responsibilities, Fair Practice Code, and current office instructions/orders."/>
    <s v="Important"/>
    <n v="4"/>
  </r>
  <r>
    <x v="4"/>
    <s v="Resigned staff related"/>
    <s v="Field"/>
    <s v="Non of the resigned stafff were involved in the below misconduct: _x000a_1. Cash misappropriation _x000a_2. Not handed over assets If no - Capture : Employee Name, Employee ID, Designation, Branch , Region, Division, Zone."/>
    <m/>
    <s v="Important"/>
    <n v="4"/>
  </r>
  <r>
    <x v="4"/>
    <s v="Less or Over staffing at Branch"/>
    <s v="Branch "/>
    <s v="Found less/ over staffing (BRE or BRO or BM) as per policy (from Branch opening to till 2000 caseload 4+1 model in BSML branch, additionally for every 250 OD clients 1 RO "/>
    <s v="Based on the staffing norms (4+1 model up to 2,000 clients and 1 RO for every 250 OD clients thereafter), is the branch understaffed, overstaffed, or adequately staffed?"/>
    <s v="Important"/>
    <n v="4"/>
  </r>
  <r>
    <x v="4"/>
    <s v="Key Fact Statement"/>
    <s v="Branch "/>
    <s v="Does the branch follow KFS guidelines as per recent office order ?  _x000a_Is Key Fact statement [Fact sheet] provided to clients at the time of loan disbursement and if aknowledgement with client signature pasted in loan documents stored in the branch?"/>
    <s v="Is Key Fact statement [Fact sheet] provided to clients at the time of loan disbursement and if aknowledgement with client signature pasted in loan documents stored in the branch?"/>
    <s v="Important"/>
    <n v="4"/>
  </r>
  <r>
    <x v="4"/>
    <s v="Credit Linked Insurance"/>
    <s v="Branch "/>
    <s v="Verify if any death claims are pending, If yes, Whether it was flagged and valid and all  required documents uploaded._x000a_• Confirm if there are no instances of CLI or Hospicash  documents pending due to branch negligence._x000a_• Confirm no death has gone unreported and no fake death report has been submitted_x000a__x000a_* Hospicash only for BSS branches"/>
    <m/>
    <s v="Important"/>
    <n v="4"/>
  </r>
  <r>
    <x v="4"/>
    <s v="Preclosure"/>
    <s v="Field"/>
    <s v="Verify the following for preclosure and repayment compliance:_x000a_• Are preclosure guidelines adhered to: no preclosure at centre meeting, preclosure slip issued and acknowledged in passbook, amount accounted in Nelitos LMS on the same day, and SMS sent to Client?_x000a_• Are all EMI payments, lump sum amounts, or preclosures recorded correctly in Nelitos LMS? Record any instances of reversal before EOD"/>
    <m/>
    <s v="Important"/>
    <n v="4"/>
  </r>
  <r>
    <x v="4"/>
    <s v="Grievance Mechanism"/>
    <s v="Branch"/>
    <s v="Are you able to observe the following grievance reporting and readressal processes at the branch / Centre - _x000a_A .Availbility of complaint boxes at the branch _x000a_B. All issues are resolved within 7 days _x000a_C. Timely escalation of pending issues to HO _x000a_D. Are there any instance of complaints against BSML Staff _x000a_E . Are there any long pending isssues at the branch , have notices been recieved from advocates or legal authorities."/>
    <m/>
    <s v="Important"/>
    <n v="4"/>
  </r>
  <r>
    <x v="4"/>
    <s v="MIS/HRMS password"/>
    <s v="Branch"/>
    <s v="Confirm if there has been no instances of password sharing for MIS applications/HRMS in the branch system or on other staff mobile devices? (Role based)"/>
    <m/>
    <s v="Important"/>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B95983-BA2A-42A5-91AF-C66E7D17D38F}"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9" firstHeaderRow="1" firstDataRow="1" firstDataCol="1"/>
  <pivotFields count="7">
    <pivotField axis="axisRow" showAll="0">
      <items count="8">
        <item x="0"/>
        <item m="1" x="5"/>
        <item x="1"/>
        <item x="3"/>
        <item m="1" x="6"/>
        <item x="4"/>
        <item x="2"/>
        <item t="default"/>
      </items>
    </pivotField>
    <pivotField showAll="0"/>
    <pivotField showAll="0"/>
    <pivotField showAll="0"/>
    <pivotField showAll="0"/>
    <pivotField showAll="0"/>
    <pivotField dataField="1" showAll="0"/>
  </pivotFields>
  <rowFields count="1">
    <field x="0"/>
  </rowFields>
  <rowItems count="6">
    <i>
      <x/>
    </i>
    <i>
      <x v="2"/>
    </i>
    <i>
      <x v="3"/>
    </i>
    <i>
      <x v="5"/>
    </i>
    <i>
      <x v="6"/>
    </i>
    <i t="grand">
      <x/>
    </i>
  </rowItems>
  <colItems count="1">
    <i/>
  </colItems>
  <dataFields count="1">
    <dataField name="Sum of Marks " fld="6" baseField="0" baseItem="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1E206-F536-4931-8666-EFFBC5ECD023}">
  <dimension ref="A3:B9"/>
  <sheetViews>
    <sheetView workbookViewId="0">
      <selection activeCell="B8" sqref="B8"/>
    </sheetView>
  </sheetViews>
  <sheetFormatPr defaultRowHeight="14.5" x14ac:dyDescent="0.35"/>
  <cols>
    <col min="1" max="1" width="37.81640625" bestFit="1" customWidth="1"/>
    <col min="2" max="2" width="12.90625" bestFit="1" customWidth="1"/>
  </cols>
  <sheetData>
    <row r="3" spans="1:2" x14ac:dyDescent="0.35">
      <c r="A3" s="12" t="s">
        <v>70</v>
      </c>
      <c r="B3" t="s">
        <v>154</v>
      </c>
    </row>
    <row r="4" spans="1:2" x14ac:dyDescent="0.35">
      <c r="A4" s="13" t="s">
        <v>66</v>
      </c>
      <c r="B4" s="14">
        <v>14</v>
      </c>
    </row>
    <row r="5" spans="1:2" x14ac:dyDescent="0.35">
      <c r="A5" s="13" t="s">
        <v>67</v>
      </c>
      <c r="B5" s="14">
        <v>50</v>
      </c>
    </row>
    <row r="6" spans="1:2" x14ac:dyDescent="0.35">
      <c r="A6" s="13" t="s">
        <v>65</v>
      </c>
      <c r="B6" s="14">
        <v>58</v>
      </c>
    </row>
    <row r="7" spans="1:2" x14ac:dyDescent="0.35">
      <c r="A7" s="13" t="s">
        <v>47</v>
      </c>
      <c r="B7" s="14">
        <v>68</v>
      </c>
    </row>
    <row r="8" spans="1:2" x14ac:dyDescent="0.35">
      <c r="A8" s="13" t="s">
        <v>141</v>
      </c>
      <c r="B8" s="14">
        <v>70</v>
      </c>
    </row>
    <row r="9" spans="1:2" x14ac:dyDescent="0.35">
      <c r="A9" s="13" t="s">
        <v>71</v>
      </c>
      <c r="B9" s="14">
        <v>260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8"/>
  <sheetViews>
    <sheetView tabSelected="1" zoomScaleNormal="100" workbookViewId="0">
      <pane ySplit="1" topLeftCell="A2" activePane="bottomLeft" state="frozen"/>
      <selection pane="bottomLeft" activeCell="A58" sqref="A2:A58"/>
    </sheetView>
  </sheetViews>
  <sheetFormatPr defaultColWidth="8.6328125" defaultRowHeight="14.5" x14ac:dyDescent="0.35"/>
  <cols>
    <col min="1" max="1" width="5.1796875" style="1" customWidth="1"/>
    <col min="2" max="2" width="12" style="1" customWidth="1"/>
    <col min="3" max="3" width="18.08984375" style="1" customWidth="1"/>
    <col min="4" max="5" width="26.90625" style="1" customWidth="1"/>
    <col min="6" max="6" width="56.26953125" style="1" customWidth="1"/>
    <col min="7" max="7" width="15.08984375" style="1" customWidth="1"/>
    <col min="8" max="8" width="14" style="1" customWidth="1"/>
    <col min="9" max="9" width="18.90625" hidden="1" customWidth="1"/>
  </cols>
  <sheetData>
    <row r="1" spans="1:9" x14ac:dyDescent="0.35">
      <c r="A1" s="2" t="s">
        <v>0</v>
      </c>
      <c r="B1" s="2" t="s">
        <v>1</v>
      </c>
      <c r="C1" s="2" t="s">
        <v>2</v>
      </c>
      <c r="D1" s="2" t="s">
        <v>3</v>
      </c>
      <c r="E1" s="2" t="s">
        <v>110</v>
      </c>
      <c r="F1" s="2" t="s">
        <v>4</v>
      </c>
      <c r="G1" s="2" t="s">
        <v>5</v>
      </c>
      <c r="H1" s="2" t="s">
        <v>69</v>
      </c>
      <c r="I1" s="2" t="s">
        <v>73</v>
      </c>
    </row>
    <row r="2" spans="1:9" ht="24" x14ac:dyDescent="0.35">
      <c r="A2" s="3">
        <v>1</v>
      </c>
      <c r="B2" s="3" t="s">
        <v>6</v>
      </c>
      <c r="C2" s="3" t="s">
        <v>66</v>
      </c>
      <c r="D2" s="3" t="s">
        <v>133</v>
      </c>
      <c r="E2" s="3" t="s">
        <v>111</v>
      </c>
      <c r="F2" s="3" t="s">
        <v>7</v>
      </c>
      <c r="G2" s="3" t="s">
        <v>8</v>
      </c>
      <c r="H2" s="3">
        <v>2</v>
      </c>
      <c r="I2" s="15"/>
    </row>
    <row r="3" spans="1:9" ht="60" x14ac:dyDescent="0.35">
      <c r="A3" s="3">
        <v>2</v>
      </c>
      <c r="B3" s="3" t="s">
        <v>6</v>
      </c>
      <c r="C3" s="3" t="s">
        <v>66</v>
      </c>
      <c r="D3" s="3" t="s">
        <v>9</v>
      </c>
      <c r="E3" s="3" t="s">
        <v>111</v>
      </c>
      <c r="F3" s="3" t="s">
        <v>120</v>
      </c>
      <c r="G3" s="3" t="s">
        <v>8</v>
      </c>
      <c r="H3" s="3">
        <v>2</v>
      </c>
      <c r="I3" s="15"/>
    </row>
    <row r="4" spans="1:9" ht="96" x14ac:dyDescent="0.35">
      <c r="A4" s="3">
        <v>3</v>
      </c>
      <c r="B4" s="3" t="s">
        <v>10</v>
      </c>
      <c r="C4" s="3" t="s">
        <v>66</v>
      </c>
      <c r="D4" s="3" t="s">
        <v>20</v>
      </c>
      <c r="E4" s="3" t="s">
        <v>111</v>
      </c>
      <c r="F4" s="3" t="s">
        <v>155</v>
      </c>
      <c r="G4" s="3" t="s">
        <v>16</v>
      </c>
      <c r="H4" s="3">
        <v>4</v>
      </c>
      <c r="I4" s="3" t="s">
        <v>74</v>
      </c>
    </row>
    <row r="5" spans="1:9" x14ac:dyDescent="0.35">
      <c r="A5" s="3">
        <v>4</v>
      </c>
      <c r="B5" s="3" t="s">
        <v>10</v>
      </c>
      <c r="C5" s="3" t="s">
        <v>66</v>
      </c>
      <c r="D5" s="3" t="s">
        <v>21</v>
      </c>
      <c r="E5" s="3" t="s">
        <v>111</v>
      </c>
      <c r="F5" s="3" t="s">
        <v>22</v>
      </c>
      <c r="G5" s="3" t="s">
        <v>8</v>
      </c>
      <c r="H5" s="3">
        <v>2</v>
      </c>
      <c r="I5" s="15"/>
    </row>
    <row r="6" spans="1:9" ht="24" x14ac:dyDescent="0.35">
      <c r="A6" s="3">
        <v>5</v>
      </c>
      <c r="B6" s="3" t="s">
        <v>10</v>
      </c>
      <c r="C6" s="3" t="s">
        <v>66</v>
      </c>
      <c r="D6" s="3" t="s">
        <v>17</v>
      </c>
      <c r="E6" s="3" t="s">
        <v>111</v>
      </c>
      <c r="F6" s="3" t="s">
        <v>156</v>
      </c>
      <c r="G6" s="3" t="s">
        <v>16</v>
      </c>
      <c r="H6" s="3">
        <v>4</v>
      </c>
      <c r="I6" s="15"/>
    </row>
    <row r="7" spans="1:9" ht="132" x14ac:dyDescent="0.35">
      <c r="A7" s="3">
        <v>6</v>
      </c>
      <c r="B7" s="3" t="s">
        <v>10</v>
      </c>
      <c r="C7" s="3" t="s">
        <v>67</v>
      </c>
      <c r="D7" s="3" t="s">
        <v>11</v>
      </c>
      <c r="E7" s="3" t="s">
        <v>111</v>
      </c>
      <c r="F7" s="3" t="s">
        <v>144</v>
      </c>
      <c r="G7" s="3" t="s">
        <v>12</v>
      </c>
      <c r="H7" s="3">
        <v>6</v>
      </c>
      <c r="I7" s="3" t="s">
        <v>75</v>
      </c>
    </row>
    <row r="8" spans="1:9" ht="36" x14ac:dyDescent="0.35">
      <c r="A8" s="3">
        <v>7</v>
      </c>
      <c r="B8" s="3" t="s">
        <v>10</v>
      </c>
      <c r="C8" s="3" t="s">
        <v>67</v>
      </c>
      <c r="D8" s="3" t="s">
        <v>13</v>
      </c>
      <c r="E8" s="3" t="s">
        <v>111</v>
      </c>
      <c r="F8" s="3" t="s">
        <v>151</v>
      </c>
      <c r="G8" s="3" t="s">
        <v>12</v>
      </c>
      <c r="H8" s="3">
        <v>6</v>
      </c>
      <c r="I8" s="3" t="s">
        <v>76</v>
      </c>
    </row>
    <row r="9" spans="1:9" ht="60" x14ac:dyDescent="0.35">
      <c r="A9" s="3">
        <v>8</v>
      </c>
      <c r="B9" s="3" t="s">
        <v>10</v>
      </c>
      <c r="C9" s="3" t="s">
        <v>67</v>
      </c>
      <c r="D9" s="3" t="s">
        <v>14</v>
      </c>
      <c r="E9" s="3" t="s">
        <v>111</v>
      </c>
      <c r="F9" s="3" t="s">
        <v>15</v>
      </c>
      <c r="G9" s="3" t="s">
        <v>16</v>
      </c>
      <c r="H9" s="3">
        <v>4</v>
      </c>
      <c r="I9" s="3" t="s">
        <v>75</v>
      </c>
    </row>
    <row r="10" spans="1:9" ht="24" x14ac:dyDescent="0.35">
      <c r="A10" s="3">
        <v>9</v>
      </c>
      <c r="B10" s="3" t="s">
        <v>10</v>
      </c>
      <c r="C10" s="3" t="s">
        <v>67</v>
      </c>
      <c r="D10" s="3" t="s">
        <v>14</v>
      </c>
      <c r="E10" s="3" t="s">
        <v>111</v>
      </c>
      <c r="F10" s="3" t="s">
        <v>153</v>
      </c>
      <c r="G10" s="3" t="s">
        <v>8</v>
      </c>
      <c r="H10" s="3">
        <v>2</v>
      </c>
      <c r="I10" s="15"/>
    </row>
    <row r="11" spans="1:9" ht="409.5" x14ac:dyDescent="0.35">
      <c r="A11" s="3">
        <v>10</v>
      </c>
      <c r="B11" s="3" t="s">
        <v>24</v>
      </c>
      <c r="C11" s="3" t="s">
        <v>67</v>
      </c>
      <c r="D11" s="3" t="s">
        <v>25</v>
      </c>
      <c r="E11" s="3" t="s">
        <v>111</v>
      </c>
      <c r="F11" s="3" t="s">
        <v>152</v>
      </c>
      <c r="G11" s="3" t="s">
        <v>16</v>
      </c>
      <c r="H11" s="3">
        <v>4</v>
      </c>
      <c r="I11" s="15"/>
    </row>
    <row r="12" spans="1:9" ht="144" x14ac:dyDescent="0.35">
      <c r="A12" s="3">
        <v>11</v>
      </c>
      <c r="B12" s="3" t="s">
        <v>6</v>
      </c>
      <c r="C12" s="3" t="s">
        <v>67</v>
      </c>
      <c r="D12" s="3" t="s">
        <v>26</v>
      </c>
      <c r="E12" s="3" t="s">
        <v>111</v>
      </c>
      <c r="F12" s="3" t="s">
        <v>27</v>
      </c>
      <c r="G12" s="3" t="s">
        <v>16</v>
      </c>
      <c r="H12" s="3">
        <v>4</v>
      </c>
      <c r="I12" s="15"/>
    </row>
    <row r="13" spans="1:9" ht="108" x14ac:dyDescent="0.35">
      <c r="A13" s="3">
        <v>12</v>
      </c>
      <c r="B13" s="3" t="s">
        <v>10</v>
      </c>
      <c r="C13" s="3" t="s">
        <v>67</v>
      </c>
      <c r="D13" s="3" t="s">
        <v>28</v>
      </c>
      <c r="E13" s="3" t="s">
        <v>111</v>
      </c>
      <c r="F13" s="3" t="s">
        <v>150</v>
      </c>
      <c r="G13" s="3" t="s">
        <v>16</v>
      </c>
      <c r="H13" s="3">
        <v>4</v>
      </c>
      <c r="I13" s="3" t="s">
        <v>77</v>
      </c>
    </row>
    <row r="14" spans="1:9" s="39" customFormat="1" ht="24" x14ac:dyDescent="0.35">
      <c r="A14" s="3">
        <v>13</v>
      </c>
      <c r="B14" s="3" t="s">
        <v>10</v>
      </c>
      <c r="C14" s="3" t="s">
        <v>67</v>
      </c>
      <c r="D14" s="3" t="s">
        <v>29</v>
      </c>
      <c r="E14" s="3" t="s">
        <v>113</v>
      </c>
      <c r="F14" s="3" t="s">
        <v>121</v>
      </c>
      <c r="G14" s="3" t="s">
        <v>12</v>
      </c>
      <c r="H14" s="3">
        <v>6</v>
      </c>
      <c r="I14" s="3" t="s">
        <v>77</v>
      </c>
    </row>
    <row r="15" spans="1:9" ht="132" x14ac:dyDescent="0.35">
      <c r="A15" s="3">
        <v>14</v>
      </c>
      <c r="B15" s="3" t="s">
        <v>10</v>
      </c>
      <c r="C15" s="3" t="s">
        <v>67</v>
      </c>
      <c r="D15" s="3" t="s">
        <v>29</v>
      </c>
      <c r="E15" s="3" t="s">
        <v>111</v>
      </c>
      <c r="F15" s="3" t="s">
        <v>157</v>
      </c>
      <c r="G15" s="3" t="s">
        <v>16</v>
      </c>
      <c r="H15" s="3">
        <v>4</v>
      </c>
      <c r="I15" s="15"/>
    </row>
    <row r="16" spans="1:9" ht="36" x14ac:dyDescent="0.35">
      <c r="A16" s="3">
        <v>15</v>
      </c>
      <c r="B16" s="3" t="s">
        <v>10</v>
      </c>
      <c r="C16" s="3" t="s">
        <v>67</v>
      </c>
      <c r="D16" s="3" t="s">
        <v>30</v>
      </c>
      <c r="E16" s="3" t="s">
        <v>112</v>
      </c>
      <c r="F16" s="3" t="s">
        <v>158</v>
      </c>
      <c r="G16" s="3" t="s">
        <v>16</v>
      </c>
      <c r="H16" s="3">
        <v>4</v>
      </c>
      <c r="I16" s="15"/>
    </row>
    <row r="17" spans="1:9" ht="36" x14ac:dyDescent="0.35">
      <c r="A17" s="3">
        <v>16</v>
      </c>
      <c r="B17" s="3" t="s">
        <v>10</v>
      </c>
      <c r="C17" s="3" t="s">
        <v>67</v>
      </c>
      <c r="D17" s="3" t="s">
        <v>31</v>
      </c>
      <c r="E17" s="3" t="s">
        <v>113</v>
      </c>
      <c r="F17" s="3" t="s">
        <v>159</v>
      </c>
      <c r="G17" s="3" t="s">
        <v>12</v>
      </c>
      <c r="H17" s="3">
        <v>6</v>
      </c>
      <c r="I17" s="15"/>
    </row>
    <row r="18" spans="1:9" ht="36" x14ac:dyDescent="0.35">
      <c r="A18" s="3">
        <v>17</v>
      </c>
      <c r="B18" s="3" t="s">
        <v>10</v>
      </c>
      <c r="C18" s="3" t="s">
        <v>141</v>
      </c>
      <c r="D18" s="3" t="s">
        <v>32</v>
      </c>
      <c r="E18" s="3" t="s">
        <v>112</v>
      </c>
      <c r="F18" s="3" t="s">
        <v>160</v>
      </c>
      <c r="G18" s="3" t="s">
        <v>12</v>
      </c>
      <c r="H18" s="3">
        <v>6</v>
      </c>
      <c r="I18" s="15"/>
    </row>
    <row r="19" spans="1:9" ht="84" x14ac:dyDescent="0.35">
      <c r="A19" s="3">
        <v>18</v>
      </c>
      <c r="B19" s="3" t="s">
        <v>10</v>
      </c>
      <c r="C19" s="3" t="s">
        <v>141</v>
      </c>
      <c r="D19" s="3" t="s">
        <v>33</v>
      </c>
      <c r="E19" s="3" t="s">
        <v>111</v>
      </c>
      <c r="F19" s="3" t="s">
        <v>114</v>
      </c>
      <c r="G19" s="3" t="s">
        <v>16</v>
      </c>
      <c r="H19" s="3">
        <v>4</v>
      </c>
      <c r="I19" s="15"/>
    </row>
    <row r="20" spans="1:9" ht="96" x14ac:dyDescent="0.35">
      <c r="A20" s="3">
        <v>19</v>
      </c>
      <c r="B20" s="3" t="s">
        <v>10</v>
      </c>
      <c r="C20" s="3" t="s">
        <v>141</v>
      </c>
      <c r="D20" s="3" t="s">
        <v>116</v>
      </c>
      <c r="E20" s="3" t="s">
        <v>113</v>
      </c>
      <c r="F20" s="3" t="s">
        <v>122</v>
      </c>
      <c r="G20" s="3" t="s">
        <v>16</v>
      </c>
      <c r="H20" s="3">
        <v>4</v>
      </c>
      <c r="I20" s="3" t="s">
        <v>78</v>
      </c>
    </row>
    <row r="21" spans="1:9" ht="232" customHeight="1" x14ac:dyDescent="0.35">
      <c r="A21" s="3">
        <v>20</v>
      </c>
      <c r="B21" s="3" t="s">
        <v>10</v>
      </c>
      <c r="C21" s="3" t="s">
        <v>141</v>
      </c>
      <c r="D21" s="3" t="s">
        <v>115</v>
      </c>
      <c r="E21" s="3" t="s">
        <v>113</v>
      </c>
      <c r="F21" s="3" t="s">
        <v>136</v>
      </c>
      <c r="G21" s="3" t="s">
        <v>12</v>
      </c>
      <c r="H21" s="3">
        <v>6</v>
      </c>
      <c r="I21" s="3" t="s">
        <v>78</v>
      </c>
    </row>
    <row r="22" spans="1:9" ht="168" x14ac:dyDescent="0.35">
      <c r="A22" s="3">
        <v>21</v>
      </c>
      <c r="B22" s="3" t="s">
        <v>10</v>
      </c>
      <c r="C22" s="3" t="s">
        <v>141</v>
      </c>
      <c r="D22" s="3" t="s">
        <v>117</v>
      </c>
      <c r="E22" s="3" t="s">
        <v>113</v>
      </c>
      <c r="F22" s="3" t="s">
        <v>142</v>
      </c>
      <c r="G22" s="3" t="s">
        <v>12</v>
      </c>
      <c r="H22" s="3">
        <v>4</v>
      </c>
      <c r="I22" s="3" t="s">
        <v>78</v>
      </c>
    </row>
    <row r="23" spans="1:9" ht="144" x14ac:dyDescent="0.35">
      <c r="A23" s="3">
        <v>22</v>
      </c>
      <c r="B23" s="3" t="s">
        <v>10</v>
      </c>
      <c r="C23" s="3" t="s">
        <v>141</v>
      </c>
      <c r="D23" s="3" t="s">
        <v>34</v>
      </c>
      <c r="E23" s="3" t="s">
        <v>113</v>
      </c>
      <c r="F23" s="3" t="s">
        <v>161</v>
      </c>
      <c r="G23" s="3" t="s">
        <v>12</v>
      </c>
      <c r="H23" s="3">
        <v>6</v>
      </c>
      <c r="I23" s="3" t="s">
        <v>123</v>
      </c>
    </row>
    <row r="24" spans="1:9" ht="60" x14ac:dyDescent="0.35">
      <c r="A24" s="3">
        <v>23</v>
      </c>
      <c r="B24" s="3" t="s">
        <v>10</v>
      </c>
      <c r="C24" s="3" t="s">
        <v>141</v>
      </c>
      <c r="D24" s="3" t="s">
        <v>35</v>
      </c>
      <c r="E24" s="3" t="s">
        <v>113</v>
      </c>
      <c r="F24" s="3" t="s">
        <v>124</v>
      </c>
      <c r="G24" s="3" t="s">
        <v>16</v>
      </c>
      <c r="H24" s="3">
        <v>4</v>
      </c>
      <c r="I24" s="15"/>
    </row>
    <row r="25" spans="1:9" ht="72" x14ac:dyDescent="0.35">
      <c r="A25" s="3">
        <v>24</v>
      </c>
      <c r="B25" s="3" t="s">
        <v>10</v>
      </c>
      <c r="C25" s="3" t="s">
        <v>141</v>
      </c>
      <c r="D25" s="3" t="s">
        <v>118</v>
      </c>
      <c r="E25" s="3" t="s">
        <v>113</v>
      </c>
      <c r="F25" s="3" t="s">
        <v>162</v>
      </c>
      <c r="G25" s="3" t="s">
        <v>16</v>
      </c>
      <c r="H25" s="3">
        <v>4</v>
      </c>
      <c r="I25" s="3" t="s">
        <v>79</v>
      </c>
    </row>
    <row r="26" spans="1:9" ht="36" x14ac:dyDescent="0.35">
      <c r="A26" s="3">
        <v>25</v>
      </c>
      <c r="B26" s="3" t="s">
        <v>10</v>
      </c>
      <c r="C26" s="3" t="s">
        <v>141</v>
      </c>
      <c r="D26" s="3" t="s">
        <v>118</v>
      </c>
      <c r="E26" s="3" t="s">
        <v>113</v>
      </c>
      <c r="F26" s="3" t="s">
        <v>119</v>
      </c>
      <c r="G26" s="3" t="s">
        <v>16</v>
      </c>
      <c r="H26" s="3">
        <v>4</v>
      </c>
      <c r="I26" s="3"/>
    </row>
    <row r="27" spans="1:9" ht="36" x14ac:dyDescent="0.35">
      <c r="A27" s="3">
        <v>26</v>
      </c>
      <c r="B27" s="3" t="s">
        <v>10</v>
      </c>
      <c r="C27" s="3" t="s">
        <v>141</v>
      </c>
      <c r="D27" s="3" t="s">
        <v>125</v>
      </c>
      <c r="E27" s="3" t="s">
        <v>113</v>
      </c>
      <c r="F27" s="3" t="s">
        <v>163</v>
      </c>
      <c r="G27" s="3" t="s">
        <v>12</v>
      </c>
      <c r="H27" s="3">
        <v>6</v>
      </c>
      <c r="I27" s="3" t="s">
        <v>80</v>
      </c>
    </row>
    <row r="28" spans="1:9" ht="24" x14ac:dyDescent="0.35">
      <c r="A28" s="3">
        <v>27</v>
      </c>
      <c r="B28" s="3" t="s">
        <v>10</v>
      </c>
      <c r="C28" s="3" t="s">
        <v>141</v>
      </c>
      <c r="D28" s="3" t="s">
        <v>129</v>
      </c>
      <c r="E28" s="3" t="s">
        <v>113</v>
      </c>
      <c r="F28" s="3" t="s">
        <v>126</v>
      </c>
      <c r="G28" s="3" t="s">
        <v>16</v>
      </c>
      <c r="H28" s="3">
        <v>4</v>
      </c>
      <c r="I28" s="3" t="s">
        <v>127</v>
      </c>
    </row>
    <row r="29" spans="1:9" ht="24" x14ac:dyDescent="0.35">
      <c r="A29" s="3">
        <v>28</v>
      </c>
      <c r="B29" s="3" t="s">
        <v>10</v>
      </c>
      <c r="C29" s="3" t="s">
        <v>141</v>
      </c>
      <c r="D29" s="3" t="s">
        <v>36</v>
      </c>
      <c r="E29" s="3" t="s">
        <v>113</v>
      </c>
      <c r="F29" s="3" t="s">
        <v>164</v>
      </c>
      <c r="G29" s="3" t="s">
        <v>12</v>
      </c>
      <c r="H29" s="3">
        <v>6</v>
      </c>
      <c r="I29" s="3" t="s">
        <v>127</v>
      </c>
    </row>
    <row r="30" spans="1:9" ht="84" x14ac:dyDescent="0.35">
      <c r="A30" s="3">
        <v>29</v>
      </c>
      <c r="B30" s="3" t="s">
        <v>10</v>
      </c>
      <c r="C30" s="3" t="s">
        <v>141</v>
      </c>
      <c r="D30" s="3" t="s">
        <v>37</v>
      </c>
      <c r="E30" s="3" t="s">
        <v>113</v>
      </c>
      <c r="F30" s="3" t="s">
        <v>130</v>
      </c>
      <c r="G30" s="3" t="s">
        <v>12</v>
      </c>
      <c r="H30" s="3">
        <v>6</v>
      </c>
      <c r="I30" s="15"/>
    </row>
    <row r="31" spans="1:9" ht="24" x14ac:dyDescent="0.35">
      <c r="A31" s="3">
        <v>30</v>
      </c>
      <c r="B31" s="3" t="s">
        <v>10</v>
      </c>
      <c r="C31" s="3" t="s">
        <v>141</v>
      </c>
      <c r="D31" s="3" t="s">
        <v>38</v>
      </c>
      <c r="E31" s="3" t="s">
        <v>113</v>
      </c>
      <c r="F31" s="3" t="s">
        <v>165</v>
      </c>
      <c r="G31" s="3" t="s">
        <v>12</v>
      </c>
      <c r="H31" s="3">
        <v>6</v>
      </c>
      <c r="I31" s="3" t="s">
        <v>81</v>
      </c>
    </row>
    <row r="32" spans="1:9" ht="96" x14ac:dyDescent="0.35">
      <c r="A32" s="3">
        <v>31</v>
      </c>
      <c r="B32" s="3" t="s">
        <v>10</v>
      </c>
      <c r="C32" s="3" t="s">
        <v>65</v>
      </c>
      <c r="D32" s="3" t="s">
        <v>143</v>
      </c>
      <c r="E32" s="3" t="s">
        <v>113</v>
      </c>
      <c r="F32" s="3" t="s">
        <v>166</v>
      </c>
      <c r="G32" s="3" t="s">
        <v>12</v>
      </c>
      <c r="H32" s="3">
        <v>6</v>
      </c>
      <c r="I32" s="3" t="s">
        <v>80</v>
      </c>
    </row>
    <row r="33" spans="1:9" ht="72" x14ac:dyDescent="0.35">
      <c r="A33" s="3">
        <v>32</v>
      </c>
      <c r="B33" s="3" t="s">
        <v>10</v>
      </c>
      <c r="C33" s="3" t="s">
        <v>65</v>
      </c>
      <c r="D33" s="3" t="s">
        <v>131</v>
      </c>
      <c r="E33" s="3" t="s">
        <v>113</v>
      </c>
      <c r="F33" s="3" t="s">
        <v>167</v>
      </c>
      <c r="G33" s="3" t="s">
        <v>12</v>
      </c>
      <c r="H33" s="3">
        <v>6</v>
      </c>
      <c r="I33" s="3" t="s">
        <v>82</v>
      </c>
    </row>
    <row r="34" spans="1:9" ht="156" x14ac:dyDescent="0.35">
      <c r="A34" s="3">
        <v>33</v>
      </c>
      <c r="B34" s="3" t="s">
        <v>10</v>
      </c>
      <c r="C34" s="3" t="s">
        <v>65</v>
      </c>
      <c r="D34" s="3" t="s">
        <v>39</v>
      </c>
      <c r="E34" s="3" t="s">
        <v>113</v>
      </c>
      <c r="F34" s="3" t="s">
        <v>168</v>
      </c>
      <c r="G34" s="3" t="s">
        <v>12</v>
      </c>
      <c r="H34" s="3">
        <v>6</v>
      </c>
      <c r="I34" s="3" t="s">
        <v>83</v>
      </c>
    </row>
    <row r="35" spans="1:9" ht="48" x14ac:dyDescent="0.35">
      <c r="A35" s="3">
        <v>34</v>
      </c>
      <c r="B35" s="3" t="s">
        <v>10</v>
      </c>
      <c r="C35" s="3" t="s">
        <v>65</v>
      </c>
      <c r="D35" s="3" t="s">
        <v>40</v>
      </c>
      <c r="E35" s="3" t="s">
        <v>113</v>
      </c>
      <c r="F35" s="3" t="s">
        <v>169</v>
      </c>
      <c r="G35" s="3" t="s">
        <v>12</v>
      </c>
      <c r="H35" s="3">
        <v>6</v>
      </c>
      <c r="I35" s="15"/>
    </row>
    <row r="36" spans="1:9" ht="96" x14ac:dyDescent="0.35">
      <c r="A36" s="3">
        <v>35</v>
      </c>
      <c r="B36" s="3" t="s">
        <v>10</v>
      </c>
      <c r="C36" s="3" t="s">
        <v>65</v>
      </c>
      <c r="D36" s="3" t="s">
        <v>41</v>
      </c>
      <c r="E36" s="3" t="s">
        <v>113</v>
      </c>
      <c r="F36" s="3" t="s">
        <v>170</v>
      </c>
      <c r="G36" s="3" t="s">
        <v>12</v>
      </c>
      <c r="H36" s="3">
        <v>6</v>
      </c>
      <c r="I36" s="15"/>
    </row>
    <row r="37" spans="1:9" ht="24" x14ac:dyDescent="0.35">
      <c r="A37" s="3">
        <v>36</v>
      </c>
      <c r="B37" s="3" t="s">
        <v>10</v>
      </c>
      <c r="C37" s="3" t="s">
        <v>65</v>
      </c>
      <c r="D37" s="3" t="s">
        <v>42</v>
      </c>
      <c r="E37" s="3" t="s">
        <v>113</v>
      </c>
      <c r="F37" s="3" t="s">
        <v>171</v>
      </c>
      <c r="G37" s="3" t="s">
        <v>12</v>
      </c>
      <c r="H37" s="3">
        <v>6</v>
      </c>
      <c r="I37" s="3" t="s">
        <v>127</v>
      </c>
    </row>
    <row r="38" spans="1:9" ht="36" x14ac:dyDescent="0.35">
      <c r="A38" s="3">
        <v>37</v>
      </c>
      <c r="B38" s="3" t="s">
        <v>10</v>
      </c>
      <c r="C38" s="3" t="s">
        <v>65</v>
      </c>
      <c r="D38" s="3" t="s">
        <v>43</v>
      </c>
      <c r="E38" s="3" t="s">
        <v>113</v>
      </c>
      <c r="F38" s="3" t="s">
        <v>44</v>
      </c>
      <c r="G38" s="3" t="s">
        <v>12</v>
      </c>
      <c r="H38" s="3">
        <v>6</v>
      </c>
      <c r="I38" s="3" t="s">
        <v>127</v>
      </c>
    </row>
    <row r="39" spans="1:9" ht="48" x14ac:dyDescent="0.35">
      <c r="A39" s="3">
        <v>38</v>
      </c>
      <c r="B39" s="3" t="s">
        <v>10</v>
      </c>
      <c r="C39" s="3" t="s">
        <v>65</v>
      </c>
      <c r="D39" s="3" t="s">
        <v>45</v>
      </c>
      <c r="E39" s="3" t="s">
        <v>113</v>
      </c>
      <c r="F39" s="3" t="s">
        <v>172</v>
      </c>
      <c r="G39" s="3" t="s">
        <v>12</v>
      </c>
      <c r="H39" s="3">
        <v>6</v>
      </c>
      <c r="I39" s="15"/>
    </row>
    <row r="40" spans="1:9" ht="24" x14ac:dyDescent="0.35">
      <c r="A40" s="3">
        <v>39</v>
      </c>
      <c r="B40" s="3" t="s">
        <v>10</v>
      </c>
      <c r="C40" s="3" t="s">
        <v>65</v>
      </c>
      <c r="D40" s="3" t="s">
        <v>46</v>
      </c>
      <c r="E40" s="3" t="s">
        <v>111</v>
      </c>
      <c r="F40" s="3" t="s">
        <v>173</v>
      </c>
      <c r="G40" s="3" t="s">
        <v>12</v>
      </c>
      <c r="H40" s="3">
        <v>6</v>
      </c>
      <c r="I40" s="15"/>
    </row>
    <row r="41" spans="1:9" ht="24" x14ac:dyDescent="0.35">
      <c r="A41" s="3">
        <v>40</v>
      </c>
      <c r="B41" s="3" t="s">
        <v>10</v>
      </c>
      <c r="C41" s="3" t="s">
        <v>65</v>
      </c>
      <c r="D41" s="3" t="s">
        <v>132</v>
      </c>
      <c r="E41" s="3" t="s">
        <v>113</v>
      </c>
      <c r="F41" s="3" t="s">
        <v>174</v>
      </c>
      <c r="G41" s="3" t="s">
        <v>16</v>
      </c>
      <c r="H41" s="3">
        <v>4</v>
      </c>
      <c r="I41" s="15"/>
    </row>
    <row r="42" spans="1:9" ht="36" x14ac:dyDescent="0.35">
      <c r="A42" s="3">
        <v>41</v>
      </c>
      <c r="B42" s="3" t="s">
        <v>10</v>
      </c>
      <c r="C42" s="3" t="s">
        <v>47</v>
      </c>
      <c r="D42" s="3" t="s">
        <v>84</v>
      </c>
      <c r="E42" s="3" t="s">
        <v>113</v>
      </c>
      <c r="F42" s="3" t="s">
        <v>175</v>
      </c>
      <c r="G42" s="3" t="s">
        <v>16</v>
      </c>
      <c r="H42" s="3">
        <v>4</v>
      </c>
      <c r="I42" s="3" t="s">
        <v>80</v>
      </c>
    </row>
    <row r="43" spans="1:9" ht="24" x14ac:dyDescent="0.35">
      <c r="A43" s="3">
        <v>42</v>
      </c>
      <c r="B43" s="3" t="s">
        <v>10</v>
      </c>
      <c r="C43" s="3" t="s">
        <v>47</v>
      </c>
      <c r="D43" s="3" t="s">
        <v>105</v>
      </c>
      <c r="E43" s="3" t="s">
        <v>111</v>
      </c>
      <c r="F43" s="3" t="s">
        <v>176</v>
      </c>
      <c r="G43" s="3" t="s">
        <v>16</v>
      </c>
      <c r="H43" s="3">
        <v>4</v>
      </c>
      <c r="I43" s="3"/>
    </row>
    <row r="44" spans="1:9" s="32" customFormat="1" ht="84" x14ac:dyDescent="0.35">
      <c r="A44" s="3">
        <v>43</v>
      </c>
      <c r="B44" s="31" t="s">
        <v>10</v>
      </c>
      <c r="C44" s="3" t="s">
        <v>47</v>
      </c>
      <c r="D44" s="31" t="s">
        <v>48</v>
      </c>
      <c r="E44" s="31" t="s">
        <v>113</v>
      </c>
      <c r="F44" s="38" t="s">
        <v>149</v>
      </c>
      <c r="G44" s="31" t="s">
        <v>16</v>
      </c>
      <c r="H44" s="31">
        <v>4</v>
      </c>
      <c r="I44" s="31" t="s">
        <v>85</v>
      </c>
    </row>
    <row r="45" spans="1:9" ht="24" x14ac:dyDescent="0.35">
      <c r="A45" s="3">
        <v>44</v>
      </c>
      <c r="B45" s="3" t="s">
        <v>10</v>
      </c>
      <c r="C45" s="3" t="s">
        <v>47</v>
      </c>
      <c r="D45" s="3" t="s">
        <v>49</v>
      </c>
      <c r="E45" s="3" t="s">
        <v>111</v>
      </c>
      <c r="F45" s="3" t="s">
        <v>134</v>
      </c>
      <c r="G45" s="3" t="s">
        <v>16</v>
      </c>
      <c r="H45" s="3">
        <v>4</v>
      </c>
      <c r="I45" s="3" t="s">
        <v>135</v>
      </c>
    </row>
    <row r="46" spans="1:9" ht="36" x14ac:dyDescent="0.35">
      <c r="A46" s="3">
        <v>45</v>
      </c>
      <c r="B46" s="3" t="s">
        <v>10</v>
      </c>
      <c r="C46" s="3" t="s">
        <v>47</v>
      </c>
      <c r="D46" s="3" t="s">
        <v>50</v>
      </c>
      <c r="E46" s="3" t="s">
        <v>111</v>
      </c>
      <c r="F46" s="3" t="s">
        <v>177</v>
      </c>
      <c r="G46" s="3" t="s">
        <v>16</v>
      </c>
      <c r="H46" s="3">
        <v>4</v>
      </c>
      <c r="I46" s="3" t="s">
        <v>128</v>
      </c>
    </row>
    <row r="47" spans="1:9" ht="96" x14ac:dyDescent="0.35">
      <c r="A47" s="3">
        <v>46</v>
      </c>
      <c r="B47" s="3" t="s">
        <v>10</v>
      </c>
      <c r="C47" s="3" t="s">
        <v>47</v>
      </c>
      <c r="D47" s="3" t="s">
        <v>137</v>
      </c>
      <c r="E47" s="3" t="s">
        <v>111</v>
      </c>
      <c r="F47" s="3" t="s">
        <v>178</v>
      </c>
      <c r="G47" s="3" t="s">
        <v>16</v>
      </c>
      <c r="H47" s="3">
        <v>4</v>
      </c>
      <c r="I47" s="3" t="s">
        <v>128</v>
      </c>
    </row>
    <row r="48" spans="1:9" ht="36" x14ac:dyDescent="0.35">
      <c r="A48" s="3">
        <v>47</v>
      </c>
      <c r="B48" s="3" t="s">
        <v>10</v>
      </c>
      <c r="C48" s="3" t="s">
        <v>47</v>
      </c>
      <c r="D48" s="3" t="s">
        <v>51</v>
      </c>
      <c r="E48" s="3" t="s">
        <v>111</v>
      </c>
      <c r="F48" s="3" t="s">
        <v>179</v>
      </c>
      <c r="G48" s="3" t="s">
        <v>16</v>
      </c>
      <c r="H48" s="3">
        <v>4</v>
      </c>
      <c r="I48" s="15"/>
    </row>
    <row r="49" spans="1:9" ht="36" x14ac:dyDescent="0.35">
      <c r="A49" s="3">
        <v>48</v>
      </c>
      <c r="B49" s="3" t="s">
        <v>10</v>
      </c>
      <c r="C49" s="3" t="s">
        <v>47</v>
      </c>
      <c r="D49" s="3" t="s">
        <v>52</v>
      </c>
      <c r="E49" s="3" t="s">
        <v>111</v>
      </c>
      <c r="F49" s="3" t="s">
        <v>148</v>
      </c>
      <c r="G49" s="3" t="s">
        <v>16</v>
      </c>
      <c r="H49" s="3">
        <v>4</v>
      </c>
      <c r="I49" s="3" t="s">
        <v>86</v>
      </c>
    </row>
    <row r="50" spans="1:9" ht="96" x14ac:dyDescent="0.35">
      <c r="A50" s="3">
        <v>49</v>
      </c>
      <c r="B50" s="3" t="s">
        <v>10</v>
      </c>
      <c r="C50" s="3" t="s">
        <v>47</v>
      </c>
      <c r="D50" s="3" t="s">
        <v>18</v>
      </c>
      <c r="E50" s="3" t="s">
        <v>111</v>
      </c>
      <c r="F50" s="3" t="s">
        <v>138</v>
      </c>
      <c r="G50" s="3" t="s">
        <v>16</v>
      </c>
      <c r="H50" s="3">
        <v>4</v>
      </c>
      <c r="I50" s="15"/>
    </row>
    <row r="51" spans="1:9" ht="96" x14ac:dyDescent="0.35">
      <c r="A51" s="3">
        <v>50</v>
      </c>
      <c r="B51" s="3" t="s">
        <v>10</v>
      </c>
      <c r="C51" s="3" t="s">
        <v>47</v>
      </c>
      <c r="D51" s="3" t="s">
        <v>19</v>
      </c>
      <c r="E51" s="3" t="s">
        <v>111</v>
      </c>
      <c r="F51" s="3" t="s">
        <v>147</v>
      </c>
      <c r="G51" s="3" t="s">
        <v>16</v>
      </c>
      <c r="H51" s="3">
        <v>4</v>
      </c>
      <c r="I51" s="15"/>
    </row>
    <row r="52" spans="1:9" ht="48" x14ac:dyDescent="0.35">
      <c r="A52" s="3">
        <v>51</v>
      </c>
      <c r="B52" s="3" t="s">
        <v>10</v>
      </c>
      <c r="C52" s="3" t="s">
        <v>47</v>
      </c>
      <c r="D52" s="3" t="s">
        <v>23</v>
      </c>
      <c r="E52" s="3" t="s">
        <v>113</v>
      </c>
      <c r="F52" s="3" t="s">
        <v>180</v>
      </c>
      <c r="G52" s="3" t="s">
        <v>16</v>
      </c>
      <c r="H52" s="3">
        <v>4</v>
      </c>
      <c r="I52" s="15"/>
    </row>
    <row r="53" spans="1:9" ht="36" x14ac:dyDescent="0.35">
      <c r="A53" s="3">
        <v>52</v>
      </c>
      <c r="B53" s="3" t="s">
        <v>10</v>
      </c>
      <c r="C53" s="3" t="s">
        <v>47</v>
      </c>
      <c r="D53" s="3" t="s">
        <v>53</v>
      </c>
      <c r="E53" s="3" t="s">
        <v>111</v>
      </c>
      <c r="F53" s="3" t="s">
        <v>145</v>
      </c>
      <c r="G53" s="3" t="s">
        <v>16</v>
      </c>
      <c r="H53" s="3">
        <v>4</v>
      </c>
      <c r="I53" s="15"/>
    </row>
    <row r="54" spans="1:9" ht="36" x14ac:dyDescent="0.35">
      <c r="A54" s="3">
        <v>53</v>
      </c>
      <c r="B54" s="3" t="s">
        <v>10</v>
      </c>
      <c r="C54" s="3" t="s">
        <v>47</v>
      </c>
      <c r="D54" s="3" t="s">
        <v>54</v>
      </c>
      <c r="E54" s="3" t="s">
        <v>111</v>
      </c>
      <c r="F54" s="3" t="s">
        <v>146</v>
      </c>
      <c r="G54" s="3" t="s">
        <v>16</v>
      </c>
      <c r="H54" s="3">
        <v>4</v>
      </c>
      <c r="I54" s="3" t="s">
        <v>77</v>
      </c>
    </row>
    <row r="55" spans="1:9" ht="84" x14ac:dyDescent="0.35">
      <c r="A55" s="3">
        <v>54</v>
      </c>
      <c r="B55" s="3" t="s">
        <v>10</v>
      </c>
      <c r="C55" s="3" t="s">
        <v>47</v>
      </c>
      <c r="D55" s="3" t="s">
        <v>55</v>
      </c>
      <c r="E55" s="3" t="s">
        <v>111</v>
      </c>
      <c r="F55" s="3" t="s">
        <v>181</v>
      </c>
      <c r="G55" s="3" t="s">
        <v>16</v>
      </c>
      <c r="H55" s="3">
        <v>4</v>
      </c>
      <c r="I55" s="15"/>
    </row>
    <row r="56" spans="1:9" ht="72" x14ac:dyDescent="0.35">
      <c r="A56" s="3">
        <v>55</v>
      </c>
      <c r="B56" s="3" t="s">
        <v>10</v>
      </c>
      <c r="C56" s="3" t="s">
        <v>47</v>
      </c>
      <c r="D56" s="3" t="s">
        <v>56</v>
      </c>
      <c r="E56" s="3" t="s">
        <v>113</v>
      </c>
      <c r="F56" s="3" t="s">
        <v>139</v>
      </c>
      <c r="G56" s="3" t="s">
        <v>16</v>
      </c>
      <c r="H56" s="3">
        <v>4</v>
      </c>
      <c r="I56" s="3" t="s">
        <v>87</v>
      </c>
    </row>
    <row r="57" spans="1:9" ht="96" x14ac:dyDescent="0.35">
      <c r="A57" s="3">
        <v>56</v>
      </c>
      <c r="B57" s="3" t="s">
        <v>10</v>
      </c>
      <c r="C57" s="3" t="s">
        <v>47</v>
      </c>
      <c r="D57" s="3" t="s">
        <v>57</v>
      </c>
      <c r="E57" s="3" t="s">
        <v>112</v>
      </c>
      <c r="F57" s="3" t="s">
        <v>140</v>
      </c>
      <c r="G57" s="3" t="s">
        <v>16</v>
      </c>
      <c r="H57" s="3">
        <v>4</v>
      </c>
      <c r="I57" s="15"/>
    </row>
    <row r="58" spans="1:9" ht="48" x14ac:dyDescent="0.35">
      <c r="A58" s="3">
        <v>57</v>
      </c>
      <c r="B58" s="3" t="s">
        <v>10</v>
      </c>
      <c r="C58" s="3" t="s">
        <v>47</v>
      </c>
      <c r="D58" s="3" t="s">
        <v>58</v>
      </c>
      <c r="E58" s="3" t="s">
        <v>112</v>
      </c>
      <c r="F58" s="3" t="s">
        <v>59</v>
      </c>
      <c r="G58" s="3" t="s">
        <v>16</v>
      </c>
      <c r="H58" s="3">
        <v>4</v>
      </c>
      <c r="I58" s="3" t="s">
        <v>88</v>
      </c>
    </row>
  </sheetData>
  <pageMargins left="0.75" right="0.75" top="1" bottom="1" header="0.511811023622047" footer="0.511811023622047"/>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1"/>
  <sheetViews>
    <sheetView zoomScaleNormal="100" workbookViewId="0">
      <pane ySplit="2" topLeftCell="A15" activePane="bottomLeft" state="frozen"/>
      <selection pane="bottomLeft" activeCell="A27" sqref="A27"/>
    </sheetView>
  </sheetViews>
  <sheetFormatPr defaultColWidth="8.7265625" defaultRowHeight="14.5" x14ac:dyDescent="0.35"/>
  <cols>
    <col min="1" max="1" width="28.81640625" style="1" bestFit="1" customWidth="1"/>
    <col min="2" max="2" width="11.81640625" style="1" bestFit="1" customWidth="1"/>
    <col min="3" max="3" width="11" style="1" bestFit="1" customWidth="1"/>
    <col min="4" max="4" width="13.54296875" bestFit="1" customWidth="1"/>
    <col min="5" max="5" width="11.90625" bestFit="1" customWidth="1"/>
    <col min="6" max="6" width="10.36328125" bestFit="1" customWidth="1"/>
  </cols>
  <sheetData>
    <row r="1" spans="1:6" x14ac:dyDescent="0.35">
      <c r="D1" s="35" t="s">
        <v>107</v>
      </c>
      <c r="E1" s="36"/>
      <c r="F1" s="37"/>
    </row>
    <row r="2" spans="1:6" ht="26" x14ac:dyDescent="0.35">
      <c r="A2" s="2" t="s">
        <v>2</v>
      </c>
      <c r="B2" s="2" t="s">
        <v>60</v>
      </c>
      <c r="C2" s="21" t="s">
        <v>72</v>
      </c>
      <c r="D2" s="24" t="s">
        <v>108</v>
      </c>
      <c r="E2" s="2" t="s">
        <v>106</v>
      </c>
      <c r="F2" s="25" t="s">
        <v>109</v>
      </c>
    </row>
    <row r="3" spans="1:6" x14ac:dyDescent="0.35">
      <c r="A3" s="3" t="s">
        <v>68</v>
      </c>
      <c r="B3" s="4">
        <v>5</v>
      </c>
      <c r="C3" s="22">
        <v>14</v>
      </c>
      <c r="D3" s="26">
        <v>10</v>
      </c>
      <c r="E3" s="19">
        <f>D3/C3*100</f>
        <v>71.428571428571431</v>
      </c>
      <c r="F3" s="27">
        <f>E3*B3%</f>
        <v>3.5714285714285716</v>
      </c>
    </row>
    <row r="4" spans="1:6" x14ac:dyDescent="0.35">
      <c r="A4" s="3" t="s">
        <v>67</v>
      </c>
      <c r="B4" s="4">
        <v>10</v>
      </c>
      <c r="C4" s="22">
        <v>50</v>
      </c>
      <c r="D4" s="26">
        <v>20</v>
      </c>
      <c r="E4" s="19">
        <f t="shared" ref="E4:E7" si="0">D4/C4*100</f>
        <v>40</v>
      </c>
      <c r="F4" s="27">
        <f t="shared" ref="F4:F7" si="1">E4*B4%</f>
        <v>4</v>
      </c>
    </row>
    <row r="5" spans="1:6" x14ac:dyDescent="0.35">
      <c r="A5" s="3" t="s">
        <v>141</v>
      </c>
      <c r="B5" s="4">
        <v>35</v>
      </c>
      <c r="C5" s="22">
        <v>70</v>
      </c>
      <c r="D5" s="26">
        <v>30</v>
      </c>
      <c r="E5" s="19">
        <f t="shared" si="0"/>
        <v>42.857142857142854</v>
      </c>
      <c r="F5" s="27">
        <f t="shared" si="1"/>
        <v>14.999999999999998</v>
      </c>
    </row>
    <row r="6" spans="1:6" ht="24" x14ac:dyDescent="0.35">
      <c r="A6" s="3" t="s">
        <v>65</v>
      </c>
      <c r="B6" s="4">
        <v>25</v>
      </c>
      <c r="C6" s="22">
        <v>58</v>
      </c>
      <c r="D6" s="26">
        <v>42</v>
      </c>
      <c r="E6" s="19">
        <f t="shared" si="0"/>
        <v>72.41379310344827</v>
      </c>
      <c r="F6" s="27">
        <f t="shared" si="1"/>
        <v>18.103448275862068</v>
      </c>
    </row>
    <row r="7" spans="1:6" x14ac:dyDescent="0.35">
      <c r="A7" s="3" t="s">
        <v>47</v>
      </c>
      <c r="B7" s="4">
        <v>25</v>
      </c>
      <c r="C7" s="22">
        <v>68</v>
      </c>
      <c r="D7" s="26">
        <v>22</v>
      </c>
      <c r="E7" s="19">
        <f t="shared" si="0"/>
        <v>32.352941176470587</v>
      </c>
      <c r="F7" s="27">
        <f t="shared" si="1"/>
        <v>8.0882352941176467</v>
      </c>
    </row>
    <row r="8" spans="1:6" ht="15" thickBot="1" x14ac:dyDescent="0.4">
      <c r="A8" s="5"/>
      <c r="B8" s="5">
        <f>SUM(B3:B7)</f>
        <v>100</v>
      </c>
      <c r="C8" s="23">
        <f>SUM(C3:C7)</f>
        <v>260</v>
      </c>
      <c r="D8" s="28">
        <f>SUM(D3:D7)</f>
        <v>124</v>
      </c>
      <c r="E8" s="29">
        <f>SUM(E3:E7)</f>
        <v>259.05244856563314</v>
      </c>
      <c r="F8" s="30">
        <f>SUM(F3:F7)</f>
        <v>48.763112141408278</v>
      </c>
    </row>
    <row r="11" spans="1:6" x14ac:dyDescent="0.35">
      <c r="A11" s="33" t="s">
        <v>61</v>
      </c>
      <c r="B11" s="34"/>
    </row>
    <row r="12" spans="1:6" x14ac:dyDescent="0.35">
      <c r="A12" s="6" t="s">
        <v>12</v>
      </c>
      <c r="B12" s="7" t="s">
        <v>62</v>
      </c>
    </row>
    <row r="13" spans="1:6" x14ac:dyDescent="0.35">
      <c r="A13" s="8" t="s">
        <v>16</v>
      </c>
      <c r="B13" s="9" t="s">
        <v>63</v>
      </c>
    </row>
    <row r="14" spans="1:6" x14ac:dyDescent="0.35">
      <c r="A14" s="10" t="s">
        <v>8</v>
      </c>
      <c r="B14" s="11" t="s">
        <v>64</v>
      </c>
    </row>
    <row r="17" spans="1:4" x14ac:dyDescent="0.35">
      <c r="A17" s="20" t="s">
        <v>93</v>
      </c>
      <c r="B17" s="20" t="s">
        <v>94</v>
      </c>
      <c r="C17" s="20" t="s">
        <v>95</v>
      </c>
      <c r="D17" s="20" t="s">
        <v>102</v>
      </c>
    </row>
    <row r="18" spans="1:4" ht="37.5" x14ac:dyDescent="0.35">
      <c r="A18" s="16" t="s">
        <v>89</v>
      </c>
      <c r="B18" s="17" t="s">
        <v>96</v>
      </c>
      <c r="C18" s="18" t="s">
        <v>97</v>
      </c>
      <c r="D18" s="18" t="s">
        <v>103</v>
      </c>
    </row>
    <row r="19" spans="1:4" ht="37.5" x14ac:dyDescent="0.35">
      <c r="A19" s="16" t="s">
        <v>90</v>
      </c>
      <c r="B19" s="17" t="s">
        <v>98</v>
      </c>
      <c r="C19" s="18" t="s">
        <v>97</v>
      </c>
      <c r="D19" s="18" t="s">
        <v>104</v>
      </c>
    </row>
    <row r="20" spans="1:4" ht="37.5" x14ac:dyDescent="0.35">
      <c r="A20" s="16" t="s">
        <v>91</v>
      </c>
      <c r="B20" s="17" t="s">
        <v>99</v>
      </c>
      <c r="C20" s="18" t="s">
        <v>100</v>
      </c>
      <c r="D20" s="18" t="s">
        <v>10</v>
      </c>
    </row>
    <row r="21" spans="1:4" ht="37.5" x14ac:dyDescent="0.35">
      <c r="A21" s="16" t="s">
        <v>92</v>
      </c>
      <c r="B21" s="17" t="s">
        <v>101</v>
      </c>
      <c r="C21" s="18" t="s">
        <v>100</v>
      </c>
      <c r="D21" s="18" t="s">
        <v>10</v>
      </c>
    </row>
  </sheetData>
  <mergeCells count="2">
    <mergeCell ref="A11:B11"/>
    <mergeCell ref="D1:F1"/>
  </mergeCells>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Audit Checklist (Merged)</vt:lpstr>
      <vt:lpstr>Category Weightage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Mukul Dubey</cp:lastModifiedBy>
  <cp:revision>0</cp:revision>
  <dcterms:created xsi:type="dcterms:W3CDTF">2026-06-15T17:38:25Z</dcterms:created>
  <dcterms:modified xsi:type="dcterms:W3CDTF">2026-07-22T06:35:45Z</dcterms:modified>
  <dc:language>en-US</dc:language>
</cp:coreProperties>
</file>